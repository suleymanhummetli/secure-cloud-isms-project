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Matrix" sheetId="2" state="visible" r:id="rId4"/>
    <sheet name="Metodologiy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<sst xmlns="http://schemas.openxmlformats.org/spreadsheetml/2006/main" count="209" uniqueCount="158">
  <si>
    <t xml:space="preserve">NovaTech Solutions: Risk reyestri (ISO/IEC 27001:2022, bənd 6.1.2)</t>
  </si>
  <si>
    <t xml:space="preserve">Göy mətnli xanalar (E, F, L, M və mətn sütunları) sizin daxil etdiyiniz məlumatdır. Bal, Səviyyə və qalıq hesablamaları avtomatikdir. Yeni risk əlavə etmək üçün növbəti boş sətri doldurun (maksimum 30 sətir).</t>
  </si>
  <si>
    <t xml:space="preserve">Formula: Bal = Ehtimal × Təsir.  1-4 Aşağı, 5-9 Orta, 10-16 Yüksək, 17-25 Kritik.  Qalıq risk (L-O) Faza 8-də, nəzarətlər tətbiq olunandan sonra doldurulur.</t>
  </si>
  <si>
    <t xml:space="preserve">ID</t>
  </si>
  <si>
    <t xml:space="preserve">Aktiv</t>
  </si>
  <si>
    <t xml:space="preserve">Təhdid</t>
  </si>
  <si>
    <t xml:space="preserve">Zəiflik</t>
  </si>
  <si>
    <t xml:space="preserve">Ehtimal (1-5)</t>
  </si>
  <si>
    <t xml:space="preserve">Təsir (1-5)</t>
  </si>
  <si>
    <t xml:space="preserve">Bal</t>
  </si>
  <si>
    <t xml:space="preserve">Səviyyə</t>
  </si>
  <si>
    <t xml:space="preserve">Müalicə</t>
  </si>
  <si>
    <t xml:space="preserve">Nəzarət (Annex A)</t>
  </si>
  <si>
    <t xml:space="preserve">Faza</t>
  </si>
  <si>
    <t xml:space="preserve">Qalıq ehtimal</t>
  </si>
  <si>
    <t xml:space="preserve">Qalıq təsir</t>
  </si>
  <si>
    <t xml:space="preserve">Qalıq bal</t>
  </si>
  <si>
    <t xml:space="preserve">Qalıq səviyyə</t>
  </si>
  <si>
    <t xml:space="preserve">R01</t>
  </si>
  <si>
    <t xml:space="preserve">A04 AWS hesabı və IAM</t>
  </si>
  <si>
    <t xml:space="preserve">Hesabın ələ keçirilməsi</t>
  </si>
  <si>
    <t xml:space="preserve">MFA yoxdur, zəif parollar</t>
  </si>
  <si>
    <t xml:space="preserve">Azaltmaq</t>
  </si>
  <si>
    <t xml:space="preserve">5.17, 8.5, 8.2</t>
  </si>
  <si>
    <t xml:space="preserve">4</t>
  </si>
  <si>
    <t xml:space="preserve">R02</t>
  </si>
  <si>
    <t xml:space="preserve">A01 Müştəri məlumatları</t>
  </si>
  <si>
    <t xml:space="preserve">Təsadüfən açıq saxlanma</t>
  </si>
  <si>
    <t xml:space="preserve">Səhv konfiqurasiya olunmuş S3</t>
  </si>
  <si>
    <t xml:space="preserve">8.3, 5.23, 8.9</t>
  </si>
  <si>
    <t xml:space="preserve">3, 4</t>
  </si>
  <si>
    <t xml:space="preserve">R03</t>
  </si>
  <si>
    <t xml:space="preserve">Məlumatın oğurlanması</t>
  </si>
  <si>
    <t xml:space="preserve">Saxlama zamanı şifrələmə yoxdur</t>
  </si>
  <si>
    <t xml:space="preserve">8.24</t>
  </si>
  <si>
    <t xml:space="preserve">6, 7</t>
  </si>
  <si>
    <t xml:space="preserve">R04</t>
  </si>
  <si>
    <t xml:space="preserve">A03 Veb server</t>
  </si>
  <si>
    <t xml:space="preserve">Brute-force hücumu</t>
  </si>
  <si>
    <t xml:space="preserve">SSH hamıya açıqdır (0.0.0.0/0)</t>
  </si>
  <si>
    <t xml:space="preserve">8.20, 8.22</t>
  </si>
  <si>
    <t xml:space="preserve">R05</t>
  </si>
  <si>
    <t xml:space="preserve">A07 Loqlar</t>
  </si>
  <si>
    <t xml:space="preserve">Hücumun aşkarlanmaması</t>
  </si>
  <si>
    <t xml:space="preserve">Mərkəzləşdirilmiş loqlama yoxdur</t>
  </si>
  <si>
    <t xml:space="preserve">8.15, 8.16</t>
  </si>
  <si>
    <t xml:space="preserve">5</t>
  </si>
  <si>
    <t xml:space="preserve">R06</t>
  </si>
  <si>
    <t xml:space="preserve">A02 Mənbə kodu</t>
  </si>
  <si>
    <t xml:space="preserve">Gizli məlumatın sızması</t>
  </si>
  <si>
    <t xml:space="preserve">Kodda sərt yazılmış açarlar</t>
  </si>
  <si>
    <t xml:space="preserve">8.4, 8.28, 5.17</t>
  </si>
  <si>
    <t xml:space="preserve">R07</t>
  </si>
  <si>
    <t xml:space="preserve">A05 Kriptoqrafik açarlar</t>
  </si>
  <si>
    <t xml:space="preserve">Açarın itirilməsi və ya sui-istifadə</t>
  </si>
  <si>
    <t xml:space="preserve">Açar siyasəti və rotasiya yoxdur</t>
  </si>
  <si>
    <t xml:space="preserve">8.24, 5.18</t>
  </si>
  <si>
    <t xml:space="preserve">7</t>
  </si>
  <si>
    <t xml:space="preserve">R08</t>
  </si>
  <si>
    <t xml:space="preserve">A08 Ehtiyat nüsxələr</t>
  </si>
  <si>
    <t xml:space="preserve">Məlumatın bərpa edilməməsi</t>
  </si>
  <si>
    <t xml:space="preserve">Ehtiyat nüsxə yoxdur və ya qorunmur</t>
  </si>
  <si>
    <t xml:space="preserve">8.13</t>
  </si>
  <si>
    <t xml:space="preserve">R09</t>
  </si>
  <si>
    <t xml:space="preserve">A04 IAM identifikasiyaları</t>
  </si>
  <si>
    <t xml:space="preserve">İmtiyazların sui-istifadəsi</t>
  </si>
  <si>
    <t xml:space="preserve">Həddən artıq geniş icazələr</t>
  </si>
  <si>
    <t xml:space="preserve">5.18, 8.2</t>
  </si>
  <si>
    <t xml:space="preserve">R10</t>
  </si>
  <si>
    <t xml:space="preserve">Zəifliklərin istismarı</t>
  </si>
  <si>
    <t xml:space="preserve">Yenilənməmiş proqram təminatı</t>
  </si>
  <si>
    <t xml:space="preserve">8.8</t>
  </si>
  <si>
    <t xml:space="preserve">8</t>
  </si>
  <si>
    <t xml:space="preserve">R11</t>
  </si>
  <si>
    <t xml:space="preserve">A06 TLS sertifikatları</t>
  </si>
  <si>
    <t xml:space="preserve">Açarın oğurlanması və ya müddətin bitməsi</t>
  </si>
  <si>
    <t xml:space="preserve">Sertifikat idarəsi yoxdur</t>
  </si>
  <si>
    <t xml:space="preserve">R12</t>
  </si>
  <si>
    <t xml:space="preserve">A04 AWS hesabı</t>
  </si>
  <si>
    <t xml:space="preserve">Açar sızması ilə kriptomaynınq</t>
  </si>
  <si>
    <t xml:space="preserve">Billing xəbərdarlığı və monitorinq yoxdur</t>
  </si>
  <si>
    <t xml:space="preserve">8.16</t>
  </si>
  <si>
    <t xml:space="preserve">0, 5</t>
  </si>
  <si>
    <t xml:space="preserve">R13</t>
  </si>
  <si>
    <t xml:space="preserve">A09 Noutbuklar</t>
  </si>
  <si>
    <t xml:space="preserve">İtirilmə və ya oğurlanma</t>
  </si>
  <si>
    <t xml:space="preserve">Disk şifrələməsi yoxdur</t>
  </si>
  <si>
    <t xml:space="preserve">8.1</t>
  </si>
  <si>
    <t xml:space="preserve">9</t>
  </si>
  <si>
    <t xml:space="preserve">R14</t>
  </si>
  <si>
    <t xml:space="preserve">A10 HR məlumatları</t>
  </si>
  <si>
    <t xml:space="preserve">E-poçtla təsadüfən göndərmə</t>
  </si>
  <si>
    <t xml:space="preserve">Məlumat sızması nəzarəti yoxdur</t>
  </si>
  <si>
    <t xml:space="preserve">8.12, 6.3</t>
  </si>
  <si>
    <t xml:space="preserve">R15</t>
  </si>
  <si>
    <t xml:space="preserve">AWS xidmətinin dayanması</t>
  </si>
  <si>
    <t xml:space="preserve">Tək nöqtəli arxitektura</t>
  </si>
  <si>
    <t xml:space="preserve">Qəbul etmək</t>
  </si>
  <si>
    <t xml:space="preserve">5.30</t>
  </si>
  <si>
    <t xml:space="preserve">5×5 risk matrisi: İLKİN (müalicədən əvvəl)</t>
  </si>
  <si>
    <t xml:space="preserve">Ehtimal ↓  /  Təsir →</t>
  </si>
  <si>
    <t xml:space="preserve">1 Cüzi</t>
  </si>
  <si>
    <t xml:space="preserve">2 Kiçik</t>
  </si>
  <si>
    <t xml:space="preserve">3 Orta</t>
  </si>
  <si>
    <t xml:space="preserve">4 Ciddi</t>
  </si>
  <si>
    <t xml:space="preserve">5 Kritik</t>
  </si>
  <si>
    <t xml:space="preserve">5 Çox yüksək</t>
  </si>
  <si>
    <t xml:space="preserve">4 Yüksək</t>
  </si>
  <si>
    <t xml:space="preserve">2 Aşağı</t>
  </si>
  <si>
    <t xml:space="preserve">1 Çox aşağı</t>
  </si>
  <si>
    <t xml:space="preserve">5×5 risk matrisi: QALIQ (müalicədən sonra, Faza 8-də doldurulur)</t>
  </si>
  <si>
    <t xml:space="preserve">Rəng izahı</t>
  </si>
  <si>
    <t xml:space="preserve">1-4 Aşağı: qəbul edilə bilər</t>
  </si>
  <si>
    <t xml:space="preserve">5-9 Orta: izlənir, planlı müalicə</t>
  </si>
  <si>
    <t xml:space="preserve">10-16 Yüksək: müalicə məcburidir</t>
  </si>
  <si>
    <t xml:space="preserve">17-25 Kritik: dərhal müalicə</t>
  </si>
  <si>
    <t xml:space="preserve">Matris xanaları 'Risk Register' vərəqindəki Ehtimal və Təsir dəyərlərindən avtomatik doldurulur. Xana rəngi mövqeyə görə sabitdir (Ehtimal × Təsir).</t>
  </si>
  <si>
    <t xml:space="preserve">Risk qiymətləndirmə metodologiyası</t>
  </si>
  <si>
    <t xml:space="preserve">Ehtimal şkalası</t>
  </si>
  <si>
    <t xml:space="preserve">Təsvir</t>
  </si>
  <si>
    <t xml:space="preserve">Çox aşağı</t>
  </si>
  <si>
    <t xml:space="preserve">İldə 1-dən az baş verə bilər</t>
  </si>
  <si>
    <t xml:space="preserve">Aşağı</t>
  </si>
  <si>
    <t xml:space="preserve">İldə 1 dəfə</t>
  </si>
  <si>
    <t xml:space="preserve">Orta</t>
  </si>
  <si>
    <t xml:space="preserve">Ayda 1 dəfə</t>
  </si>
  <si>
    <t xml:space="preserve">Yüksək</t>
  </si>
  <si>
    <t xml:space="preserve">Həftədə 1 dəfə</t>
  </si>
  <si>
    <t xml:space="preserve">Çox yüksək</t>
  </si>
  <si>
    <t xml:space="preserve">Gündəlik və ya davamlı</t>
  </si>
  <si>
    <t xml:space="preserve">Təsir şkalası</t>
  </si>
  <si>
    <t xml:space="preserve">Cüzi</t>
  </si>
  <si>
    <t xml:space="preserve">Əhəmiyyətli zərər yoxdur</t>
  </si>
  <si>
    <t xml:space="preserve">Kiçik</t>
  </si>
  <si>
    <t xml:space="preserve">Qısamüddətli iş pozulması</t>
  </si>
  <si>
    <t xml:space="preserve">Maliyyə itkisi və ya müştəri şikayəti</t>
  </si>
  <si>
    <t xml:space="preserve">Ciddi</t>
  </si>
  <si>
    <t xml:space="preserve">Məlumat sızması, hüquqi nəticələr</t>
  </si>
  <si>
    <t xml:space="preserve">Kritik</t>
  </si>
  <si>
    <t xml:space="preserve">Biznesin dayanması, ciddi reputasiya itkisi</t>
  </si>
  <si>
    <t xml:space="preserve">Risk səviyyələri</t>
  </si>
  <si>
    <t xml:space="preserve">Qərar</t>
  </si>
  <si>
    <t xml:space="preserve">1-4</t>
  </si>
  <si>
    <t xml:space="preserve">Qəbul edilə bilər</t>
  </si>
  <si>
    <t xml:space="preserve">5-9</t>
  </si>
  <si>
    <t xml:space="preserve">İzlənir, planlı müalicə</t>
  </si>
  <si>
    <t xml:space="preserve">10-16</t>
  </si>
  <si>
    <t xml:space="preserve">Müalicə məcburidir</t>
  </si>
  <si>
    <t xml:space="preserve">17-25</t>
  </si>
  <si>
    <t xml:space="preserve">Dərhal müalicə</t>
  </si>
  <si>
    <t xml:space="preserve">Müalicə seçimləri</t>
  </si>
  <si>
    <t xml:space="preserve">Seçim</t>
  </si>
  <si>
    <t xml:space="preserve">Nəzarət tətbiq etmək</t>
  </si>
  <si>
    <t xml:space="preserve">Rəhbərlik tərəfindən əsaslandırılmış qəbul</t>
  </si>
  <si>
    <t xml:space="preserve">Köçürmək</t>
  </si>
  <si>
    <t xml:space="preserve">Sığorta və ya üçüncü tərəf</t>
  </si>
  <si>
    <t xml:space="preserve">Qaçmaq</t>
  </si>
  <si>
    <t xml:space="preserve">Fəaliyyəti dayandırmaq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</si>
</sst>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FEB9C"/>
      </patternFill>
    </fill>
    <fill>
      <patternFill patternType="solid">
        <fgColor rgb="FFFF7C80"/>
        <bgColor rgb="FFFF99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7C80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6" min="5" style="0" width="1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5" min="15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31.5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</row>
    <row r="5" customFormat="false" ht="15" hidden="false" customHeight="false" outlineLevel="0" collapsed="false">
      <c r="A5" s="4" t="s">
        <v>18</v>
      </c>
      <c r="B5" s="5" t="s">
        <v>19</v>
      </c>
      <c r="C5" s="5" t="s">
        <v>20</v>
      </c>
      <c r="D5" s="5" t="s">
        <v>21</v>
      </c>
      <c r="E5" s="4" t="n">
        <v>4</v>
      </c>
      <c r="F5" s="4" t="n">
        <v>5</v>
      </c>
      <c r="G5" s="6" t="n">
        <f aca="false">IF(OR(E5="",F5=""),"",E5*F5)</f>
        <v>20</v>
      </c>
      <c r="H5" s="6" t="str">
        <f aca="false">IF(G5="","",IF(G5&gt;=17,"Kritik",IF(G5&gt;=10,"Yüksək",IF(G5&gt;=5,"Orta","Aşağı"))))</f>
        <v>Kritik</v>
      </c>
      <c r="I5" s="4" t="s">
        <v>22</v>
      </c>
      <c r="J5" s="5" t="s">
        <v>23</v>
      </c>
      <c r="K5" s="4" t="s">
        <v>24</v>
      </c>
      <c r="L5" s="4"/>
      <c r="M5" s="4"/>
      <c r="N5" s="7" t="str">
        <f aca="false">IF(OR(L5="",M5=""),"",L5*M5)</f>
        <v/>
      </c>
      <c r="O5" s="7" t="str">
        <f aca="false">IF(N5="","",IF(N5&gt;=17,"Kritik",IF(N5&gt;=10,"Yüksək",IF(N5&gt;=5,"Orta","Aşağı"))))</f>
        <v/>
      </c>
    </row>
    <row r="6" customFormat="false" ht="15" hidden="false" customHeight="false" outlineLevel="0" collapsed="false">
      <c r="A6" s="4" t="s">
        <v>25</v>
      </c>
      <c r="B6" s="5" t="s">
        <v>26</v>
      </c>
      <c r="C6" s="5" t="s">
        <v>27</v>
      </c>
      <c r="D6" s="5" t="s">
        <v>28</v>
      </c>
      <c r="E6" s="4" t="n">
        <v>3</v>
      </c>
      <c r="F6" s="4" t="n">
        <v>5</v>
      </c>
      <c r="G6" s="6" t="n">
        <f aca="false">IF(OR(E6="",F6=""),"",E6*F6)</f>
        <v>15</v>
      </c>
      <c r="H6" s="6" t="str">
        <f aca="false">IF(G6="","",IF(G6&gt;=17,"Kritik",IF(G6&gt;=10,"Yüksək",IF(G6&gt;=5,"Orta","Aşağı"))))</f>
        <v>Yüksək</v>
      </c>
      <c r="I6" s="4" t="s">
        <v>22</v>
      </c>
      <c r="J6" s="5" t="s">
        <v>29</v>
      </c>
      <c r="K6" s="4" t="s">
        <v>30</v>
      </c>
      <c r="L6" s="4"/>
      <c r="M6" s="4"/>
      <c r="N6" s="7" t="str">
        <f aca="false">IF(OR(L6="",M6=""),"",L6*M6)</f>
        <v/>
      </c>
      <c r="O6" s="7" t="str">
        <f aca="false">IF(N6="","",IF(N6&gt;=17,"Kritik",IF(N6&gt;=10,"Yüksək",IF(N6&gt;=5,"Orta","Aşağı"))))</f>
        <v/>
      </c>
    </row>
    <row r="7" customFormat="false" ht="15" hidden="false" customHeight="false" outlineLevel="0" collapsed="false">
      <c r="A7" s="4" t="s">
        <v>31</v>
      </c>
      <c r="B7" s="5" t="s">
        <v>26</v>
      </c>
      <c r="C7" s="5" t="s">
        <v>32</v>
      </c>
      <c r="D7" s="5" t="s">
        <v>33</v>
      </c>
      <c r="E7" s="4" t="n">
        <v>3</v>
      </c>
      <c r="F7" s="4" t="n">
        <v>4</v>
      </c>
      <c r="G7" s="6" t="n">
        <f aca="false">IF(OR(E7="",F7=""),"",E7*F7)</f>
        <v>12</v>
      </c>
      <c r="H7" s="6" t="str">
        <f aca="false">IF(G7="","",IF(G7&gt;=17,"Kritik",IF(G7&gt;=10,"Yüksək",IF(G7&gt;=5,"Orta","Aşağı"))))</f>
        <v>Yüksək</v>
      </c>
      <c r="I7" s="4" t="s">
        <v>22</v>
      </c>
      <c r="J7" s="5" t="s">
        <v>34</v>
      </c>
      <c r="K7" s="4" t="s">
        <v>35</v>
      </c>
      <c r="L7" s="4"/>
      <c r="M7" s="4"/>
      <c r="N7" s="7" t="str">
        <f aca="false">IF(OR(L7="",M7=""),"",L7*M7)</f>
        <v/>
      </c>
      <c r="O7" s="7" t="str">
        <f aca="false">IF(N7="","",IF(N7&gt;=17,"Kritik",IF(N7&gt;=10,"Yüksək",IF(N7&gt;=5,"Orta","Aşağı"))))</f>
        <v/>
      </c>
    </row>
    <row r="8" customFormat="false" ht="15" hidden="false" customHeight="false" outlineLevel="0" collapsed="false">
      <c r="A8" s="4" t="s">
        <v>36</v>
      </c>
      <c r="B8" s="5" t="s">
        <v>37</v>
      </c>
      <c r="C8" s="5" t="s">
        <v>38</v>
      </c>
      <c r="D8" s="5" t="s">
        <v>39</v>
      </c>
      <c r="E8" s="4" t="n">
        <v>4</v>
      </c>
      <c r="F8" s="4" t="n">
        <v>4</v>
      </c>
      <c r="G8" s="6" t="n">
        <f aca="false">IF(OR(E8="",F8=""),"",E8*F8)</f>
        <v>16</v>
      </c>
      <c r="H8" s="6" t="str">
        <f aca="false">IF(G8="","",IF(G8&gt;=17,"Kritik",IF(G8&gt;=10,"Yüksək",IF(G8&gt;=5,"Orta","Aşağı"))))</f>
        <v>Yüksək</v>
      </c>
      <c r="I8" s="4" t="s">
        <v>22</v>
      </c>
      <c r="J8" s="5" t="s">
        <v>40</v>
      </c>
      <c r="K8" s="4" t="s">
        <v>24</v>
      </c>
      <c r="L8" s="4"/>
      <c r="M8" s="4"/>
      <c r="N8" s="7" t="str">
        <f aca="false">IF(OR(L8="",M8=""),"",L8*M8)</f>
        <v/>
      </c>
      <c r="O8" s="7" t="str">
        <f aca="false">IF(N8="","",IF(N8&gt;=17,"Kritik",IF(N8&gt;=10,"Yüksək",IF(N8&gt;=5,"Orta","Aşağı"))))</f>
        <v/>
      </c>
    </row>
    <row r="9" customFormat="false" ht="15" hidden="false" customHeight="false" outlineLevel="0" collapsed="false">
      <c r="A9" s="4" t="s">
        <v>41</v>
      </c>
      <c r="B9" s="5" t="s">
        <v>42</v>
      </c>
      <c r="C9" s="5" t="s">
        <v>43</v>
      </c>
      <c r="D9" s="5" t="s">
        <v>44</v>
      </c>
      <c r="E9" s="4" t="n">
        <v>4</v>
      </c>
      <c r="F9" s="4" t="n">
        <v>4</v>
      </c>
      <c r="G9" s="6" t="n">
        <f aca="false">IF(OR(E9="",F9=""),"",E9*F9)</f>
        <v>16</v>
      </c>
      <c r="H9" s="6" t="str">
        <f aca="false">IF(G9="","",IF(G9&gt;=17,"Kritik",IF(G9&gt;=10,"Yüksək",IF(G9&gt;=5,"Orta","Aşağı"))))</f>
        <v>Yüksək</v>
      </c>
      <c r="I9" s="4" t="s">
        <v>22</v>
      </c>
      <c r="J9" s="5" t="s">
        <v>45</v>
      </c>
      <c r="K9" s="4" t="s">
        <v>46</v>
      </c>
      <c r="L9" s="4"/>
      <c r="M9" s="4"/>
      <c r="N9" s="7" t="str">
        <f aca="false">IF(OR(L9="",M9=""),"",L9*M9)</f>
        <v/>
      </c>
      <c r="O9" s="7" t="str">
        <f aca="false">IF(N9="","",IF(N9&gt;=17,"Kritik",IF(N9&gt;=10,"Yüksək",IF(N9&gt;=5,"Orta","Aşağı"))))</f>
        <v/>
      </c>
    </row>
    <row r="10" customFormat="false" ht="15" hidden="false" customHeight="false" outlineLevel="0" collapsed="false">
      <c r="A10" s="4" t="s">
        <v>47</v>
      </c>
      <c r="B10" s="5" t="s">
        <v>48</v>
      </c>
      <c r="C10" s="5" t="s">
        <v>49</v>
      </c>
      <c r="D10" s="5" t="s">
        <v>50</v>
      </c>
      <c r="E10" s="4" t="n">
        <v>4</v>
      </c>
      <c r="F10" s="4" t="n">
        <v>4</v>
      </c>
      <c r="G10" s="6" t="n">
        <f aca="false">IF(OR(E10="",F10=""),"",E10*F10)</f>
        <v>16</v>
      </c>
      <c r="H10" s="6" t="str">
        <f aca="false">IF(G10="","",IF(G10&gt;=17,"Kritik",IF(G10&gt;=10,"Yüksək",IF(G10&gt;=5,"Orta","Aşağı"))))</f>
        <v>Yüksək</v>
      </c>
      <c r="I10" s="4" t="s">
        <v>22</v>
      </c>
      <c r="J10" s="5" t="s">
        <v>51</v>
      </c>
      <c r="K10" s="4" t="s">
        <v>46</v>
      </c>
      <c r="L10" s="4"/>
      <c r="M10" s="4"/>
      <c r="N10" s="7" t="str">
        <f aca="false">IF(OR(L10="",M10=""),"",L10*M10)</f>
        <v/>
      </c>
      <c r="O10" s="7" t="str">
        <f aca="false">IF(N10="","",IF(N10&gt;=17,"Kritik",IF(N10&gt;=10,"Yüksək",IF(N10&gt;=5,"Orta","Aşağı"))))</f>
        <v/>
      </c>
    </row>
    <row r="11" customFormat="false" ht="15" hidden="false" customHeight="false" outlineLevel="0" collapsed="false">
      <c r="A11" s="4" t="s">
        <v>52</v>
      </c>
      <c r="B11" s="5" t="s">
        <v>53</v>
      </c>
      <c r="C11" s="5" t="s">
        <v>54</v>
      </c>
      <c r="D11" s="5" t="s">
        <v>55</v>
      </c>
      <c r="E11" s="4" t="n">
        <v>2</v>
      </c>
      <c r="F11" s="4" t="n">
        <v>5</v>
      </c>
      <c r="G11" s="6" t="n">
        <f aca="false">IF(OR(E11="",F11=""),"",E11*F11)</f>
        <v>10</v>
      </c>
      <c r="H11" s="6" t="str">
        <f aca="false">IF(G11="","",IF(G11&gt;=17,"Kritik",IF(G11&gt;=10,"Yüksək",IF(G11&gt;=5,"Orta","Aşağı"))))</f>
        <v>Yüksək</v>
      </c>
      <c r="I11" s="4" t="s">
        <v>22</v>
      </c>
      <c r="J11" s="5" t="s">
        <v>56</v>
      </c>
      <c r="K11" s="4" t="s">
        <v>57</v>
      </c>
      <c r="L11" s="4"/>
      <c r="M11" s="4"/>
      <c r="N11" s="7" t="str">
        <f aca="false">IF(OR(L11="",M11=""),"",L11*M11)</f>
        <v/>
      </c>
      <c r="O11" s="7" t="str">
        <f aca="false">IF(N11="","",IF(N11&gt;=17,"Kritik",IF(N11&gt;=10,"Yüksək",IF(N11&gt;=5,"Orta","Aşağı"))))</f>
        <v/>
      </c>
    </row>
    <row r="12" customFormat="false" ht="15" hidden="false" customHeight="false" outlineLevel="0" collapsed="false">
      <c r="A12" s="4" t="s">
        <v>58</v>
      </c>
      <c r="B12" s="5" t="s">
        <v>59</v>
      </c>
      <c r="C12" s="5" t="s">
        <v>60</v>
      </c>
      <c r="D12" s="5" t="s">
        <v>61</v>
      </c>
      <c r="E12" s="4" t="n">
        <v>3</v>
      </c>
      <c r="F12" s="4" t="n">
        <v>4</v>
      </c>
      <c r="G12" s="6" t="n">
        <f aca="false">IF(OR(E12="",F12=""),"",E12*F12)</f>
        <v>12</v>
      </c>
      <c r="H12" s="6" t="str">
        <f aca="false">IF(G12="","",IF(G12&gt;=17,"Kritik",IF(G12&gt;=10,"Yüksək",IF(G12&gt;=5,"Orta","Aşağı"))))</f>
        <v>Yüksək</v>
      </c>
      <c r="I12" s="4" t="s">
        <v>22</v>
      </c>
      <c r="J12" s="5" t="s">
        <v>62</v>
      </c>
      <c r="K12" s="4" t="s">
        <v>24</v>
      </c>
      <c r="L12" s="4"/>
      <c r="M12" s="4"/>
      <c r="N12" s="7" t="str">
        <f aca="false">IF(OR(L12="",M12=""),"",L12*M12)</f>
        <v/>
      </c>
      <c r="O12" s="7" t="str">
        <f aca="false">IF(N12="","",IF(N12&gt;=17,"Kritik",IF(N12&gt;=10,"Yüksək",IF(N12&gt;=5,"Orta","Aşağı"))))</f>
        <v/>
      </c>
    </row>
    <row r="13" customFormat="false" ht="15" hidden="false" customHeight="false" outlineLevel="0" collapsed="false">
      <c r="A13" s="4" t="s">
        <v>63</v>
      </c>
      <c r="B13" s="5" t="s">
        <v>64</v>
      </c>
      <c r="C13" s="5" t="s">
        <v>65</v>
      </c>
      <c r="D13" s="5" t="s">
        <v>66</v>
      </c>
      <c r="E13" s="4" t="n">
        <v>3</v>
      </c>
      <c r="F13" s="4" t="n">
        <v>4</v>
      </c>
      <c r="G13" s="6" t="n">
        <f aca="false">IF(OR(E13="",F13=""),"",E13*F13)</f>
        <v>12</v>
      </c>
      <c r="H13" s="6" t="str">
        <f aca="false">IF(G13="","",IF(G13&gt;=17,"Kritik",IF(G13&gt;=10,"Yüksək",IF(G13&gt;=5,"Orta","Aşağı"))))</f>
        <v>Yüksək</v>
      </c>
      <c r="I13" s="4" t="s">
        <v>22</v>
      </c>
      <c r="J13" s="5" t="s">
        <v>67</v>
      </c>
      <c r="K13" s="4" t="s">
        <v>24</v>
      </c>
      <c r="L13" s="4"/>
      <c r="M13" s="4"/>
      <c r="N13" s="7" t="str">
        <f aca="false">IF(OR(L13="",M13=""),"",L13*M13)</f>
        <v/>
      </c>
      <c r="O13" s="7" t="str">
        <f aca="false">IF(N13="","",IF(N13&gt;=17,"Kritik",IF(N13&gt;=10,"Yüksək",IF(N13&gt;=5,"Orta","Aşağı"))))</f>
        <v/>
      </c>
    </row>
    <row r="14" customFormat="false" ht="15" hidden="false" customHeight="false" outlineLevel="0" collapsed="false">
      <c r="A14" s="4" t="s">
        <v>68</v>
      </c>
      <c r="B14" s="5" t="s">
        <v>37</v>
      </c>
      <c r="C14" s="5" t="s">
        <v>69</v>
      </c>
      <c r="D14" s="5" t="s">
        <v>70</v>
      </c>
      <c r="E14" s="4" t="n">
        <v>3</v>
      </c>
      <c r="F14" s="4" t="n">
        <v>4</v>
      </c>
      <c r="G14" s="6" t="n">
        <f aca="false">IF(OR(E14="",F14=""),"",E14*F14)</f>
        <v>12</v>
      </c>
      <c r="H14" s="6" t="str">
        <f aca="false">IF(G14="","",IF(G14&gt;=17,"Kritik",IF(G14&gt;=10,"Yüksək",IF(G14&gt;=5,"Orta","Aşağı"))))</f>
        <v>Yüksək</v>
      </c>
      <c r="I14" s="4" t="s">
        <v>22</v>
      </c>
      <c r="J14" s="5" t="s">
        <v>71</v>
      </c>
      <c r="K14" s="4" t="s">
        <v>72</v>
      </c>
      <c r="L14" s="4"/>
      <c r="M14" s="4"/>
      <c r="N14" s="7" t="str">
        <f aca="false">IF(OR(L14="",M14=""),"",L14*M14)</f>
        <v/>
      </c>
      <c r="O14" s="7" t="str">
        <f aca="false">IF(N14="","",IF(N14&gt;=17,"Kritik",IF(N14&gt;=10,"Yüksək",IF(N14&gt;=5,"Orta","Aşağı"))))</f>
        <v/>
      </c>
    </row>
    <row r="15" customFormat="false" ht="23.85" hidden="false" customHeight="false" outlineLevel="0" collapsed="false">
      <c r="A15" s="4" t="s">
        <v>73</v>
      </c>
      <c r="B15" s="5" t="s">
        <v>74</v>
      </c>
      <c r="C15" s="5" t="s">
        <v>75</v>
      </c>
      <c r="D15" s="5" t="s">
        <v>76</v>
      </c>
      <c r="E15" s="4" t="n">
        <v>2</v>
      </c>
      <c r="F15" s="4" t="n">
        <v>4</v>
      </c>
      <c r="G15" s="6" t="n">
        <f aca="false">IF(OR(E15="",F15=""),"",E15*F15)</f>
        <v>8</v>
      </c>
      <c r="H15" s="6" t="str">
        <f aca="false">IF(G15="","",IF(G15&gt;=17,"Kritik",IF(G15&gt;=10,"Yüksək",IF(G15&gt;=5,"Orta","Aşağı"))))</f>
        <v>Orta</v>
      </c>
      <c r="I15" s="4" t="s">
        <v>22</v>
      </c>
      <c r="J15" s="5" t="s">
        <v>34</v>
      </c>
      <c r="K15" s="4" t="s">
        <v>57</v>
      </c>
      <c r="L15" s="4"/>
      <c r="M15" s="4"/>
      <c r="N15" s="7" t="str">
        <f aca="false">IF(OR(L15="",M15=""),"",L15*M15)</f>
        <v/>
      </c>
      <c r="O15" s="7" t="str">
        <f aca="false">IF(N15="","",IF(N15&gt;=17,"Kritik",IF(N15&gt;=10,"Yüksək",IF(N15&gt;=5,"Orta","Aşağı"))))</f>
        <v/>
      </c>
    </row>
    <row r="16" customFormat="false" ht="23.85" hidden="false" customHeight="false" outlineLevel="0" collapsed="false">
      <c r="A16" s="4" t="s">
        <v>77</v>
      </c>
      <c r="B16" s="5" t="s">
        <v>78</v>
      </c>
      <c r="C16" s="5" t="s">
        <v>79</v>
      </c>
      <c r="D16" s="5" t="s">
        <v>80</v>
      </c>
      <c r="E16" s="4" t="n">
        <v>3</v>
      </c>
      <c r="F16" s="4" t="n">
        <v>3</v>
      </c>
      <c r="G16" s="6" t="n">
        <f aca="false">IF(OR(E16="",F16=""),"",E16*F16)</f>
        <v>9</v>
      </c>
      <c r="H16" s="6" t="str">
        <f aca="false">IF(G16="","",IF(G16&gt;=17,"Kritik",IF(G16&gt;=10,"Yüksək",IF(G16&gt;=5,"Orta","Aşağı"))))</f>
        <v>Orta</v>
      </c>
      <c r="I16" s="4" t="s">
        <v>22</v>
      </c>
      <c r="J16" s="5" t="s">
        <v>81</v>
      </c>
      <c r="K16" s="4" t="s">
        <v>82</v>
      </c>
      <c r="L16" s="4"/>
      <c r="M16" s="4"/>
      <c r="N16" s="7" t="str">
        <f aca="false">IF(OR(L16="",M16=""),"",L16*M16)</f>
        <v/>
      </c>
      <c r="O16" s="7" t="str">
        <f aca="false">IF(N16="","",IF(N16&gt;=17,"Kritik",IF(N16&gt;=10,"Yüksək",IF(N16&gt;=5,"Orta","Aşağı"))))</f>
        <v/>
      </c>
    </row>
    <row r="17" customFormat="false" ht="15" hidden="false" customHeight="false" outlineLevel="0" collapsed="false">
      <c r="A17" s="4" t="s">
        <v>83</v>
      </c>
      <c r="B17" s="5" t="s">
        <v>84</v>
      </c>
      <c r="C17" s="5" t="s">
        <v>85</v>
      </c>
      <c r="D17" s="5" t="s">
        <v>86</v>
      </c>
      <c r="E17" s="4" t="n">
        <v>3</v>
      </c>
      <c r="F17" s="4" t="n">
        <v>3</v>
      </c>
      <c r="G17" s="6" t="n">
        <f aca="false">IF(OR(E17="",F17=""),"",E17*F17)</f>
        <v>9</v>
      </c>
      <c r="H17" s="6" t="str">
        <f aca="false">IF(G17="","",IF(G17&gt;=17,"Kritik",IF(G17&gt;=10,"Yüksək",IF(G17&gt;=5,"Orta","Aşağı"))))</f>
        <v>Orta</v>
      </c>
      <c r="I17" s="4" t="s">
        <v>22</v>
      </c>
      <c r="J17" s="5" t="s">
        <v>87</v>
      </c>
      <c r="K17" s="4" t="s">
        <v>88</v>
      </c>
      <c r="L17" s="4"/>
      <c r="M17" s="4"/>
      <c r="N17" s="7" t="str">
        <f aca="false">IF(OR(L17="",M17=""),"",L17*M17)</f>
        <v/>
      </c>
      <c r="O17" s="7" t="str">
        <f aca="false">IF(N17="","",IF(N17&gt;=17,"Kritik",IF(N17&gt;=10,"Yüksək",IF(N17&gt;=5,"Orta","Aşağı"))))</f>
        <v/>
      </c>
    </row>
    <row r="18" customFormat="false" ht="15" hidden="false" customHeight="false" outlineLevel="0" collapsed="false">
      <c r="A18" s="4" t="s">
        <v>89</v>
      </c>
      <c r="B18" s="5" t="s">
        <v>90</v>
      </c>
      <c r="C18" s="5" t="s">
        <v>91</v>
      </c>
      <c r="D18" s="5" t="s">
        <v>92</v>
      </c>
      <c r="E18" s="4" t="n">
        <v>2</v>
      </c>
      <c r="F18" s="4" t="n">
        <v>4</v>
      </c>
      <c r="G18" s="6" t="n">
        <f aca="false">IF(OR(E18="",F18=""),"",E18*F18)</f>
        <v>8</v>
      </c>
      <c r="H18" s="6" t="str">
        <f aca="false">IF(G18="","",IF(G18&gt;=17,"Kritik",IF(G18&gt;=10,"Yüksək",IF(G18&gt;=5,"Orta","Aşağı"))))</f>
        <v>Orta</v>
      </c>
      <c r="I18" s="4" t="s">
        <v>22</v>
      </c>
      <c r="J18" s="5" t="s">
        <v>93</v>
      </c>
      <c r="K18" s="4" t="s">
        <v>88</v>
      </c>
      <c r="L18" s="4"/>
      <c r="M18" s="4"/>
      <c r="N18" s="7" t="str">
        <f aca="false">IF(OR(L18="",M18=""),"",L18*M18)</f>
        <v/>
      </c>
      <c r="O18" s="7" t="str">
        <f aca="false">IF(N18="","",IF(N18&gt;=17,"Kritik",IF(N18&gt;=10,"Yüksək",IF(N18&gt;=5,"Orta","Aşağı"))))</f>
        <v/>
      </c>
    </row>
    <row r="19" customFormat="false" ht="15" hidden="false" customHeight="false" outlineLevel="0" collapsed="false">
      <c r="A19" s="4" t="s">
        <v>94</v>
      </c>
      <c r="B19" s="5" t="s">
        <v>37</v>
      </c>
      <c r="C19" s="5" t="s">
        <v>95</v>
      </c>
      <c r="D19" s="5" t="s">
        <v>96</v>
      </c>
      <c r="E19" s="4" t="n">
        <v>2</v>
      </c>
      <c r="F19" s="4" t="n">
        <v>3</v>
      </c>
      <c r="G19" s="6" t="n">
        <f aca="false">IF(OR(E19="",F19=""),"",E19*F19)</f>
        <v>6</v>
      </c>
      <c r="H19" s="6" t="str">
        <f aca="false">IF(G19="","",IF(G19&gt;=17,"Kritik",IF(G19&gt;=10,"Yüksək",IF(G19&gt;=5,"Orta","Aşağı"))))</f>
        <v>Orta</v>
      </c>
      <c r="I19" s="4" t="s">
        <v>97</v>
      </c>
      <c r="J19" s="5" t="s">
        <v>98</v>
      </c>
      <c r="K19" s="4" t="s">
        <v>88</v>
      </c>
      <c r="L19" s="4"/>
      <c r="M19" s="4"/>
      <c r="N19" s="7" t="str">
        <f aca="false">IF(OR(L19="",M19=""),"",L19*M19)</f>
        <v/>
      </c>
      <c r="O19" s="7" t="str">
        <f aca="false">IF(N19="","",IF(N19&gt;=17,"Kritik",IF(N19&gt;=10,"Yüksək",IF(N19&gt;=5,"Orta","Aşağı"))))</f>
        <v/>
      </c>
    </row>
    <row r="20" customFormat="false" ht="15" hidden="false" customHeight="false" outlineLevel="0" collapsed="false">
      <c r="A20" s="4"/>
      <c r="B20" s="5"/>
      <c r="C20" s="5"/>
      <c r="D20" s="5"/>
      <c r="E20" s="4"/>
      <c r="F20" s="4"/>
      <c r="G20" s="6" t="str">
        <f aca="false">IF(OR(E20="",F20=""),"",E20*F20)</f>
        <v/>
      </c>
      <c r="H20" s="6" t="str">
        <f aca="false">IF(G20="","",IF(G20&gt;=17,"Kritik",IF(G20&gt;=10,"Yüksək",IF(G20&gt;=5,"Orta","Aşağı"))))</f>
        <v/>
      </c>
      <c r="I20" s="4"/>
      <c r="J20" s="5"/>
      <c r="K20" s="4"/>
      <c r="L20" s="4"/>
      <c r="M20" s="4"/>
      <c r="N20" s="7" t="str">
        <f aca="false">IF(OR(L20="",M20=""),"",L20*M20)</f>
        <v/>
      </c>
      <c r="O20" s="7" t="str">
        <f aca="false">IF(N20="","",IF(N20&gt;=17,"Kritik",IF(N20&gt;=10,"Yüksək",IF(N20&gt;=5,"Orta","Aşağı"))))</f>
        <v/>
      </c>
    </row>
    <row r="21" customFormat="false" ht="15" hidden="false" customHeight="false" outlineLevel="0" collapsed="false">
      <c r="A21" s="4"/>
      <c r="B21" s="5"/>
      <c r="C21" s="5"/>
      <c r="D21" s="5"/>
      <c r="E21" s="4"/>
      <c r="F21" s="4"/>
      <c r="G21" s="6" t="str">
        <f aca="false">IF(OR(E21="",F21=""),"",E21*F21)</f>
        <v/>
      </c>
      <c r="H21" s="6" t="str">
        <f aca="false">IF(G21="","",IF(G21&gt;=17,"Kritik",IF(G21&gt;=10,"Yüksək",IF(G21&gt;=5,"Orta","Aşağı"))))</f>
        <v/>
      </c>
      <c r="I21" s="4"/>
      <c r="J21" s="5"/>
      <c r="K21" s="4"/>
      <c r="L21" s="4"/>
      <c r="M21" s="4"/>
      <c r="N21" s="7" t="str">
        <f aca="false">IF(OR(L21="",M21=""),"",L21*M21)</f>
        <v/>
      </c>
      <c r="O21" s="7" t="str">
        <f aca="false">IF(N21="","",IF(N21&gt;=17,"Kritik",IF(N21&gt;=10,"Yüksək",IF(N21&gt;=5,"Orta","Aşağı"))))</f>
        <v/>
      </c>
    </row>
    <row r="22" customFormat="false" ht="15" hidden="false" customHeight="false" outlineLevel="0" collapsed="false">
      <c r="A22" s="4"/>
      <c r="B22" s="5"/>
      <c r="C22" s="5"/>
      <c r="D22" s="5"/>
      <c r="E22" s="4"/>
      <c r="F22" s="4"/>
      <c r="G22" s="6" t="str">
        <f aca="false">IF(OR(E22="",F22=""),"",E22*F22)</f>
        <v/>
      </c>
      <c r="H22" s="6" t="str">
        <f aca="false">IF(G22="","",IF(G22&gt;=17,"Kritik",IF(G22&gt;=10,"Yüksək",IF(G22&gt;=5,"Orta","Aşağı"))))</f>
        <v/>
      </c>
      <c r="I22" s="4"/>
      <c r="J22" s="5"/>
      <c r="K22" s="4"/>
      <c r="L22" s="4"/>
      <c r="M22" s="4"/>
      <c r="N22" s="7" t="str">
        <f aca="false">IF(OR(L22="",M22=""),"",L22*M22)</f>
        <v/>
      </c>
      <c r="O22" s="7" t="str">
        <f aca="false">IF(N22="","",IF(N22&gt;=17,"Kritik",IF(N22&gt;=10,"Yüksək",IF(N22&gt;=5,"Orta","Aşağı"))))</f>
        <v/>
      </c>
    </row>
    <row r="23" customFormat="false" ht="15" hidden="false" customHeight="false" outlineLevel="0" collapsed="false">
      <c r="A23" s="4"/>
      <c r="B23" s="5"/>
      <c r="C23" s="5"/>
      <c r="D23" s="5"/>
      <c r="E23" s="4"/>
      <c r="F23" s="4"/>
      <c r="G23" s="6" t="str">
        <f aca="false">IF(OR(E23="",F23=""),"",E23*F23)</f>
        <v/>
      </c>
      <c r="H23" s="6" t="str">
        <f aca="false">IF(G23="","",IF(G23&gt;=17,"Kritik",IF(G23&gt;=10,"Yüksək",IF(G23&gt;=5,"Orta","Aşağı"))))</f>
        <v/>
      </c>
      <c r="I23" s="4"/>
      <c r="J23" s="5"/>
      <c r="K23" s="4"/>
      <c r="L23" s="4"/>
      <c r="M23" s="4"/>
      <c r="N23" s="7" t="str">
        <f aca="false">IF(OR(L23="",M23=""),"",L23*M23)</f>
        <v/>
      </c>
      <c r="O23" s="7" t="str">
        <f aca="false">IF(N23="","",IF(N23&gt;=17,"Kritik",IF(N23&gt;=10,"Yüksək",IF(N23&gt;=5,"Orta","Aşağı"))))</f>
        <v/>
      </c>
    </row>
    <row r="24" customFormat="false" ht="15" hidden="false" customHeight="false" outlineLevel="0" collapsed="false">
      <c r="A24" s="4"/>
      <c r="B24" s="5"/>
      <c r="C24" s="5"/>
      <c r="D24" s="5"/>
      <c r="E24" s="4"/>
      <c r="F24" s="4"/>
      <c r="G24" s="6" t="str">
        <f aca="false">IF(OR(E24="",F24=""),"",E24*F24)</f>
        <v/>
      </c>
      <c r="H24" s="6" t="str">
        <f aca="false">IF(G24="","",IF(G24&gt;=17,"Kritik",IF(G24&gt;=10,"Yüksək",IF(G24&gt;=5,"Orta","Aşağı"))))</f>
        <v/>
      </c>
      <c r="I24" s="4"/>
      <c r="J24" s="5"/>
      <c r="K24" s="4"/>
      <c r="L24" s="4"/>
      <c r="M24" s="4"/>
      <c r="N24" s="7" t="str">
        <f aca="false">IF(OR(L24="",M24=""),"",L24*M24)</f>
        <v/>
      </c>
      <c r="O24" s="7" t="str">
        <f aca="false">IF(N24="","",IF(N24&gt;=17,"Kritik",IF(N24&gt;=10,"Yüksək",IF(N24&gt;=5,"Orta","Aşağı"))))</f>
        <v/>
      </c>
    </row>
    <row r="25" customFormat="false" ht="15" hidden="false" customHeight="false" outlineLevel="0" collapsed="false">
      <c r="A25" s="4"/>
      <c r="B25" s="5"/>
      <c r="C25" s="5"/>
      <c r="D25" s="5"/>
      <c r="E25" s="4"/>
      <c r="F25" s="4"/>
      <c r="G25" s="6" t="str">
        <f aca="false">IF(OR(E25="",F25=""),"",E25*F25)</f>
        <v/>
      </c>
      <c r="H25" s="6" t="str">
        <f aca="false">IF(G25="","",IF(G25&gt;=17,"Kritik",IF(G25&gt;=10,"Yüksək",IF(G25&gt;=5,"Orta","Aşağı"))))</f>
        <v/>
      </c>
      <c r="I25" s="4"/>
      <c r="J25" s="5"/>
      <c r="K25" s="4"/>
      <c r="L25" s="4"/>
      <c r="M25" s="4"/>
      <c r="N25" s="7" t="str">
        <f aca="false">IF(OR(L25="",M25=""),"",L25*M25)</f>
        <v/>
      </c>
      <c r="O25" s="7" t="str">
        <f aca="false">IF(N25="","",IF(N25&gt;=17,"Kritik",IF(N25&gt;=10,"Yüksək",IF(N25&gt;=5,"Orta","Aşağı"))))</f>
        <v/>
      </c>
    </row>
    <row r="26" customFormat="false" ht="15" hidden="false" customHeight="false" outlineLevel="0" collapsed="false">
      <c r="A26" s="4"/>
      <c r="B26" s="5"/>
      <c r="C26" s="5"/>
      <c r="D26" s="5"/>
      <c r="E26" s="4"/>
      <c r="F26" s="4"/>
      <c r="G26" s="6" t="str">
        <f aca="false">IF(OR(E26="",F26=""),"",E26*F26)</f>
        <v/>
      </c>
      <c r="H26" s="6" t="str">
        <f aca="false">IF(G26="","",IF(G26&gt;=17,"Kritik",IF(G26&gt;=10,"Yüksək",IF(G26&gt;=5,"Orta","Aşağı"))))</f>
        <v/>
      </c>
      <c r="I26" s="4"/>
      <c r="J26" s="5"/>
      <c r="K26" s="4"/>
      <c r="L26" s="4"/>
      <c r="M26" s="4"/>
      <c r="N26" s="7" t="str">
        <f aca="false">IF(OR(L26="",M26=""),"",L26*M26)</f>
        <v/>
      </c>
      <c r="O26" s="7" t="str">
        <f aca="false">IF(N26="","",IF(N26&gt;=17,"Kritik",IF(N26&gt;=10,"Yüksək",IF(N26&gt;=5,"Orta","Aşağı"))))</f>
        <v/>
      </c>
    </row>
    <row r="27" customFormat="false" ht="15" hidden="false" customHeight="false" outlineLevel="0" collapsed="false">
      <c r="A27" s="4"/>
      <c r="B27" s="5"/>
      <c r="C27" s="5"/>
      <c r="D27" s="5"/>
      <c r="E27" s="4"/>
      <c r="F27" s="4"/>
      <c r="G27" s="6" t="str">
        <f aca="false">IF(OR(E27="",F27=""),"",E27*F27)</f>
        <v/>
      </c>
      <c r="H27" s="6" t="str">
        <f aca="false">IF(G27="","",IF(G27&gt;=17,"Kritik",IF(G27&gt;=10,"Yüksək",IF(G27&gt;=5,"Orta","Aşağı"))))</f>
        <v/>
      </c>
      <c r="I27" s="4"/>
      <c r="J27" s="5"/>
      <c r="K27" s="4"/>
      <c r="L27" s="4"/>
      <c r="M27" s="4"/>
      <c r="N27" s="7" t="str">
        <f aca="false">IF(OR(L27="",M27=""),"",L27*M27)</f>
        <v/>
      </c>
      <c r="O27" s="7" t="str">
        <f aca="false">IF(N27="","",IF(N27&gt;=17,"Kritik",IF(N27&gt;=10,"Yüksək",IF(N27&gt;=5,"Orta","Aşağı"))))</f>
        <v/>
      </c>
    </row>
    <row r="28" customFormat="false" ht="15" hidden="false" customHeight="false" outlineLevel="0" collapsed="false">
      <c r="A28" s="4"/>
      <c r="B28" s="5"/>
      <c r="C28" s="5"/>
      <c r="D28" s="5"/>
      <c r="E28" s="4"/>
      <c r="F28" s="4"/>
      <c r="G28" s="6" t="str">
        <f aca="false">IF(OR(E28="",F28=""),"",E28*F28)</f>
        <v/>
      </c>
      <c r="H28" s="6" t="str">
        <f aca="false">IF(G28="","",IF(G28&gt;=17,"Kritik",IF(G28&gt;=10,"Yüksək",IF(G28&gt;=5,"Orta","Aşağı"))))</f>
        <v/>
      </c>
      <c r="I28" s="4"/>
      <c r="J28" s="5"/>
      <c r="K28" s="4"/>
      <c r="L28" s="4"/>
      <c r="M28" s="4"/>
      <c r="N28" s="7" t="str">
        <f aca="false">IF(OR(L28="",M28=""),"",L28*M28)</f>
        <v/>
      </c>
      <c r="O28" s="7" t="str">
        <f aca="false">IF(N28="","",IF(N28&gt;=17,"Kritik",IF(N28&gt;=10,"Yüksək",IF(N28&gt;=5,"Orta","Aşağı"))))</f>
        <v/>
      </c>
    </row>
    <row r="29" customFormat="false" ht="15" hidden="false" customHeight="false" outlineLevel="0" collapsed="false">
      <c r="A29" s="4"/>
      <c r="B29" s="5"/>
      <c r="C29" s="5"/>
      <c r="D29" s="5"/>
      <c r="E29" s="4"/>
      <c r="F29" s="4"/>
      <c r="G29" s="6" t="str">
        <f aca="false">IF(OR(E29="",F29=""),"",E29*F29)</f>
        <v/>
      </c>
      <c r="H29" s="6" t="str">
        <f aca="false">IF(G29="","",IF(G29&gt;=17,"Kritik",IF(G29&gt;=10,"Yüksək",IF(G29&gt;=5,"Orta","Aşağı"))))</f>
        <v/>
      </c>
      <c r="I29" s="4"/>
      <c r="J29" s="5"/>
      <c r="K29" s="4"/>
      <c r="L29" s="4"/>
      <c r="M29" s="4"/>
      <c r="N29" s="7" t="str">
        <f aca="false">IF(OR(L29="",M29=""),"",L29*M29)</f>
        <v/>
      </c>
      <c r="O29" s="7" t="str">
        <f aca="false">IF(N29="","",IF(N29&gt;=17,"Kritik",IF(N29&gt;=10,"Yüksək",IF(N29&gt;=5,"Orta","Aşağı"))))</f>
        <v/>
      </c>
    </row>
    <row r="30" customFormat="false" ht="15" hidden="false" customHeight="false" outlineLevel="0" collapsed="false">
      <c r="A30" s="4"/>
      <c r="B30" s="5"/>
      <c r="C30" s="5"/>
      <c r="D30" s="5"/>
      <c r="E30" s="4"/>
      <c r="F30" s="4"/>
      <c r="G30" s="6" t="str">
        <f aca="false">IF(OR(E30="",F30=""),"",E30*F30)</f>
        <v/>
      </c>
      <c r="H30" s="6" t="str">
        <f aca="false">IF(G30="","",IF(G30&gt;=17,"Kritik",IF(G30&gt;=10,"Yüksək",IF(G30&gt;=5,"Orta","Aşağı"))))</f>
        <v/>
      </c>
      <c r="I30" s="4"/>
      <c r="J30" s="5"/>
      <c r="K30" s="4"/>
      <c r="L30" s="4"/>
      <c r="M30" s="4"/>
      <c r="N30" s="7" t="str">
        <f aca="false">IF(OR(L30="",M30=""),"",L30*M30)</f>
        <v/>
      </c>
      <c r="O30" s="7" t="str">
        <f aca="false">IF(N30="","",IF(N30&gt;=17,"Kritik",IF(N30&gt;=10,"Yüksək",IF(N30&gt;=5,"Orta","Aşağı"))))</f>
        <v/>
      </c>
    </row>
    <row r="31" customFormat="false" ht="15" hidden="false" customHeight="false" outlineLevel="0" collapsed="false">
      <c r="A31" s="4"/>
      <c r="B31" s="5"/>
      <c r="C31" s="5"/>
      <c r="D31" s="5"/>
      <c r="E31" s="4"/>
      <c r="F31" s="4"/>
      <c r="G31" s="6" t="str">
        <f aca="false">IF(OR(E31="",F31=""),"",E31*F31)</f>
        <v/>
      </c>
      <c r="H31" s="6" t="str">
        <f aca="false">IF(G31="","",IF(G31&gt;=17,"Kritik",IF(G31&gt;=10,"Yüksək",IF(G31&gt;=5,"Orta","Aşağı"))))</f>
        <v/>
      </c>
      <c r="I31" s="4"/>
      <c r="J31" s="5"/>
      <c r="K31" s="4"/>
      <c r="L31" s="4"/>
      <c r="M31" s="4"/>
      <c r="N31" s="7" t="str">
        <f aca="false">IF(OR(L31="",M31=""),"",L31*M31)</f>
        <v/>
      </c>
      <c r="O31" s="7" t="str">
        <f aca="false">IF(N31="","",IF(N31&gt;=17,"Kritik",IF(N31&gt;=10,"Yüksək",IF(N31&gt;=5,"Orta","Aşağı"))))</f>
        <v/>
      </c>
    </row>
    <row r="32" customFormat="false" ht="15" hidden="false" customHeight="false" outlineLevel="0" collapsed="false">
      <c r="A32" s="4"/>
      <c r="B32" s="5"/>
      <c r="C32" s="5"/>
      <c r="D32" s="5"/>
      <c r="E32" s="4"/>
      <c r="F32" s="4"/>
      <c r="G32" s="6" t="str">
        <f aca="false">IF(OR(E32="",F32=""),"",E32*F32)</f>
        <v/>
      </c>
      <c r="H32" s="6" t="str">
        <f aca="false">IF(G32="","",IF(G32&gt;=17,"Kritik",IF(G32&gt;=10,"Yüksək",IF(G32&gt;=5,"Orta","Aşağı"))))</f>
        <v/>
      </c>
      <c r="I32" s="4"/>
      <c r="J32" s="5"/>
      <c r="K32" s="4"/>
      <c r="L32" s="4"/>
      <c r="M32" s="4"/>
      <c r="N32" s="7" t="str">
        <f aca="false">IF(OR(L32="",M32=""),"",L32*M32)</f>
        <v/>
      </c>
      <c r="O32" s="7" t="str">
        <f aca="false">IF(N32="","",IF(N32&gt;=17,"Kritik",IF(N32&gt;=10,"Yüksək",IF(N32&gt;=5,"Orta","Aşağı"))))</f>
        <v/>
      </c>
    </row>
    <row r="33" customFormat="false" ht="15" hidden="false" customHeight="false" outlineLevel="0" collapsed="false">
      <c r="A33" s="4"/>
      <c r="B33" s="5"/>
      <c r="C33" s="5"/>
      <c r="D33" s="5"/>
      <c r="E33" s="4"/>
      <c r="F33" s="4"/>
      <c r="G33" s="6" t="str">
        <f aca="false">IF(OR(E33="",F33=""),"",E33*F33)</f>
        <v/>
      </c>
      <c r="H33" s="6" t="str">
        <f aca="false">IF(G33="","",IF(G33&gt;=17,"Kritik",IF(G33&gt;=10,"Yüksək",IF(G33&gt;=5,"Orta","Aşağı"))))</f>
        <v/>
      </c>
      <c r="I33" s="4"/>
      <c r="J33" s="5"/>
      <c r="K33" s="4"/>
      <c r="L33" s="4"/>
      <c r="M33" s="4"/>
      <c r="N33" s="7" t="str">
        <f aca="false">IF(OR(L33="",M33=""),"",L33*M33)</f>
        <v/>
      </c>
      <c r="O33" s="7" t="str">
        <f aca="false">IF(N33="","",IF(N33&gt;=17,"Kritik",IF(N33&gt;=10,"Yüksək",IF(N33&gt;=5,"Orta","Aşağı"))))</f>
        <v/>
      </c>
    </row>
    <row r="34" customFormat="false" ht="15" hidden="false" customHeight="false" outlineLevel="0" collapsed="false">
      <c r="A34" s="4"/>
      <c r="B34" s="5"/>
      <c r="C34" s="5"/>
      <c r="D34" s="5"/>
      <c r="E34" s="4"/>
      <c r="F34" s="4"/>
      <c r="G34" s="6" t="str">
        <f aca="false">IF(OR(E34="",F34=""),"",E34*F34)</f>
        <v/>
      </c>
      <c r="H34" s="6" t="str">
        <f aca="false">IF(G34="","",IF(G34&gt;=17,"Kritik",IF(G34&gt;=10,"Yüksək",IF(G34&gt;=5,"Orta","Aşağı"))))</f>
        <v/>
      </c>
      <c r="I34" s="4"/>
      <c r="J34" s="5"/>
      <c r="K34" s="4"/>
      <c r="L34" s="4"/>
      <c r="M34" s="4"/>
      <c r="N34" s="7" t="str">
        <f aca="false">IF(OR(L34="",M34=""),"",L34*M34)</f>
        <v/>
      </c>
      <c r="O34" s="7" t="str">
        <f aca="false">IF(N34="","",IF(N34&gt;=17,"Kritik",IF(N34&gt;=10,"Yüksək",IF(N34&gt;=5,"Orta","Aşağı"))))</f>
        <v/>
      </c>
    </row>
  </sheetData>
  <conditionalFormatting sqref="G5:H34">
    <cfRule type="expression" priority="2" aboveAverage="0" equalAverage="0" bottom="0" percent="0" rank="0" text="" dxfId="0">
      <formula>AND(ISNUMBER($G5),$G5&gt;=17)</formula>
    </cfRule>
    <cfRule type="expression" priority="3" aboveAverage="0" equalAverage="0" bottom="0" percent="0" rank="0" text="" dxfId="1">
      <formula>AND(ISNUMBER($G5),$G5&gt;=10,$G5&lt;17)</formula>
    </cfRule>
    <cfRule type="expression" priority="4" aboveAverage="0" equalAverage="0" bottom="0" percent="0" rank="0" text="" dxfId="2">
      <formula>AND(ISNUMBER($G5),$G5&gt;=5,$G5&lt;10)</formula>
    </cfRule>
    <cfRule type="expression" priority="5" aboveAverage="0" equalAverage="0" bottom="0" percent="0" rank="0" text="" dxfId="3">
      <formula>AND(ISNUMBER($G5),$G5&gt;=1,$G5&lt;5)</formula>
    </cfRule>
  </conditionalFormatting>
  <conditionalFormatting sqref="N5:O34">
    <cfRule type="expression" priority="6" aboveAverage="0" equalAverage="0" bottom="0" percent="0" rank="0" text="" dxfId="0">
      <formula>AND(ISNUMBER($N5),$N5&gt;=17)</formula>
    </cfRule>
    <cfRule type="expression" priority="7" aboveAverage="0" equalAverage="0" bottom="0" percent="0" rank="0" text="" dxfId="1">
      <formula>AND(ISNUMBER($N5),$N5&gt;=10,$N5&lt;17)</formula>
    </cfRule>
    <cfRule type="expression" priority="8" aboveAverage="0" equalAverage="0" bottom="0" percent="0" rank="0" text="" dxfId="2">
      <formula>AND(ISNUMBER($N5),$N5&gt;=5,$N5&lt;10)</formula>
    </cfRule>
    <cfRule type="expression" priority="9" aboveAverage="0" equalAverage="0" bottom="0" percent="0" rank="0" text="" dxfId="3">
      <formula>AND(ISNUMBER($N5),$N5&gt;=1,$N5&lt;5)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2"/>
  </cols>
  <sheetData>
    <row r="1" customFormat="false" ht="16.15" hidden="false" customHeight="false" outlineLevel="0" collapsed="false">
      <c r="A1" s="8" t="s">
        <v>99</v>
      </c>
    </row>
    <row r="3" customFormat="false" ht="30" hidden="false" customHeight="true" outlineLevel="0" collapsed="false">
      <c r="A3" s="3" t="s">
        <v>100</v>
      </c>
      <c r="B3" s="9" t="s">
        <v>101</v>
      </c>
      <c r="C3" s="9" t="s">
        <v>102</v>
      </c>
      <c r="D3" s="9" t="s">
        <v>103</v>
      </c>
      <c r="E3" s="9" t="s">
        <v>104</v>
      </c>
      <c r="F3" s="9" t="s">
        <v>105</v>
      </c>
    </row>
    <row r="4" customFormat="false" ht="61.5" hidden="false" customHeight="true" outlineLevel="0" collapsed="false">
      <c r="A4" s="9" t="s">
        <v>106</v>
      </c>
      <c r="B4" s="10" t="str">
        <f aca="false">_xlfn.TEXTJOIN(", ",TRUE(),IF(AND('Risk Register'!$E$5=5,'Risk Register'!$F$5=1),'Risk Register'!$A$5,""),IF(AND('Risk Register'!$E$6=5,'Risk Register'!$F$6=1),'Risk Register'!$A$6,""),IF(AND('Risk Register'!$E$7=5,'Risk Register'!$F$7=1),'Risk Register'!$A$7,""),IF(AND('Risk Register'!$E$8=5,'Risk Register'!$F$8=1),'Risk Register'!$A$8,""),IF(AND('Risk Register'!$E$9=5,'Risk Register'!$F$9=1),'Risk Register'!$A$9,""),IF(AND('Risk Register'!$E$10=5,'Risk Register'!$F$10=1),'Risk Register'!$A$10,""),IF(AND('Risk Register'!$E$11=5,'Risk Register'!$F$11=1),'Risk Register'!$A$11,""),IF(AND('Risk Register'!$E$12=5,'Risk Register'!$F$12=1),'Risk Register'!$A$12,""),IF(AND('Risk Register'!$E$13=5,'Risk Register'!$F$13=1),'Risk Register'!$A$13,""),IF(AND('Risk Register'!$E$14=5,'Risk Register'!$F$14=1),'Risk Register'!$A$14,""),IF(AND('Risk Register'!$E$15=5,'Risk Register'!$F$15=1),'Risk Register'!$A$15,""),IF(AND('Risk Register'!$E$16=5,'Risk Register'!$F$16=1),'Risk Register'!$A$16,""),IF(AND('Risk Register'!$E$17=5,'Risk Register'!$F$17=1),'Risk Register'!$A$17,""),IF(AND('Risk Register'!$E$18=5,'Risk Register'!$F$18=1),'Risk Register'!$A$18,""),IF(AND('Risk Register'!$E$19=5,'Risk Register'!$F$19=1),'Risk Register'!$A$19,""),IF(AND('Risk Register'!$E$20=5,'Risk Register'!$F$20=1),'Risk Register'!$A$20,""),IF(AND('Risk Register'!$E$21=5,'Risk Register'!$F$21=1),'Risk Register'!$A$21,""),IF(AND('Risk Register'!$E$22=5,'Risk Register'!$F$22=1),'Risk Register'!$A$22,""),IF(AND('Risk Register'!$E$23=5,'Risk Register'!$F$23=1),'Risk Register'!$A$23,""),IF(AND('Risk Register'!$E$24=5,'Risk Register'!$F$24=1),'Risk Register'!$A$24,""),IF(AND('Risk Register'!$E$25=5,'Risk Register'!$F$25=1),'Risk Register'!$A$25,""),IF(AND('Risk Register'!$E$26=5,'Risk Register'!$F$26=1),'Risk Register'!$A$26,""),IF(AND('Risk Register'!$E$27=5,'Risk Register'!$F$27=1),'Risk Register'!$A$27,""),IF(AND('Risk Register'!$E$28=5,'Risk Register'!$F$28=1),'Risk Register'!$A$28,""),IF(AND('Risk Register'!$E$29=5,'Risk Register'!$F$29=1),'Risk Register'!$A$29,""),IF(AND('Risk Register'!$E$30=5,'Risk Register'!$F$30=1),'Risk Register'!$A$30,""),IF(AND('Risk Register'!$E$31=5,'Risk Register'!$F$31=1),'Risk Register'!$A$31,""),IF(AND('Risk Register'!$E$32=5,'Risk Register'!$F$32=1),'Risk Register'!$A$32,""),IF(AND('Risk Register'!$E$33=5,'Risk Register'!$F$33=1),'Risk Register'!$A$33,""),IF(AND('Risk Register'!$E$34=5,'Risk Register'!$F$34=1),'Risk Register'!$A$34,""))</f>
        <v/>
      </c>
      <c r="C4" s="11" t="str">
        <f aca="false">_xlfn.TEXTJOIN(", ",TRUE(),IF(AND('Risk Register'!$E$5=5,'Risk Register'!$F$5=2),'Risk Register'!$A$5,""),IF(AND('Risk Register'!$E$6=5,'Risk Register'!$F$6=2),'Risk Register'!$A$6,""),IF(AND('Risk Register'!$E$7=5,'Risk Register'!$F$7=2),'Risk Register'!$A$7,""),IF(AND('Risk Register'!$E$8=5,'Risk Register'!$F$8=2),'Risk Register'!$A$8,""),IF(AND('Risk Register'!$E$9=5,'Risk Register'!$F$9=2),'Risk Register'!$A$9,""),IF(AND('Risk Register'!$E$10=5,'Risk Register'!$F$10=2),'Risk Register'!$A$10,""),IF(AND('Risk Register'!$E$11=5,'Risk Register'!$F$11=2),'Risk Register'!$A$11,""),IF(AND('Risk Register'!$E$12=5,'Risk Register'!$F$12=2),'Risk Register'!$A$12,""),IF(AND('Risk Register'!$E$13=5,'Risk Register'!$F$13=2),'Risk Register'!$A$13,""),IF(AND('Risk Register'!$E$14=5,'Risk Register'!$F$14=2),'Risk Register'!$A$14,""),IF(AND('Risk Register'!$E$15=5,'Risk Register'!$F$15=2),'Risk Register'!$A$15,""),IF(AND('Risk Register'!$E$16=5,'Risk Register'!$F$16=2),'Risk Register'!$A$16,""),IF(AND('Risk Register'!$E$17=5,'Risk Register'!$F$17=2),'Risk Register'!$A$17,""),IF(AND('Risk Register'!$E$18=5,'Risk Register'!$F$18=2),'Risk Register'!$A$18,""),IF(AND('Risk Register'!$E$19=5,'Risk Register'!$F$19=2),'Risk Register'!$A$19,""),IF(AND('Risk Register'!$E$20=5,'Risk Register'!$F$20=2),'Risk Register'!$A$20,""),IF(AND('Risk Register'!$E$21=5,'Risk Register'!$F$21=2),'Risk Register'!$A$21,""),IF(AND('Risk Register'!$E$22=5,'Risk Register'!$F$22=2),'Risk Register'!$A$22,""),IF(AND('Risk Register'!$E$23=5,'Risk Register'!$F$23=2),'Risk Register'!$A$23,""),IF(AND('Risk Register'!$E$24=5,'Risk Register'!$F$24=2),'Risk Register'!$A$24,""),IF(AND('Risk Register'!$E$25=5,'Risk Register'!$F$25=2),'Risk Register'!$A$25,""),IF(AND('Risk Register'!$E$26=5,'Risk Register'!$F$26=2),'Risk Register'!$A$26,""),IF(AND('Risk Register'!$E$27=5,'Risk Register'!$F$27=2),'Risk Register'!$A$27,""),IF(AND('Risk Register'!$E$28=5,'Risk Register'!$F$28=2),'Risk Register'!$A$28,""),IF(AND('Risk Register'!$E$29=5,'Risk Register'!$F$29=2),'Risk Register'!$A$29,""),IF(AND('Risk Register'!$E$30=5,'Risk Register'!$F$30=2),'Risk Register'!$A$30,""),IF(AND('Risk Register'!$E$31=5,'Risk Register'!$F$31=2),'Risk Register'!$A$31,""),IF(AND('Risk Register'!$E$32=5,'Risk Register'!$F$32=2),'Risk Register'!$A$32,""),IF(AND('Risk Register'!$E$33=5,'Risk Register'!$F$33=2),'Risk Register'!$A$33,""),IF(AND('Risk Register'!$E$34=5,'Risk Register'!$F$34=2),'Risk Register'!$A$34,""))</f>
        <v/>
      </c>
      <c r="D4" s="11" t="str">
        <f aca="false">_xlfn.TEXTJOIN(", ",TRUE(),IF(AND('Risk Register'!$E$5=5,'Risk Register'!$F$5=3),'Risk Register'!$A$5,""),IF(AND('Risk Register'!$E$6=5,'Risk Register'!$F$6=3),'Risk Register'!$A$6,""),IF(AND('Risk Register'!$E$7=5,'Risk Register'!$F$7=3),'Risk Register'!$A$7,""),IF(AND('Risk Register'!$E$8=5,'Risk Register'!$F$8=3),'Risk Register'!$A$8,""),IF(AND('Risk Register'!$E$9=5,'Risk Register'!$F$9=3),'Risk Register'!$A$9,""),IF(AND('Risk Register'!$E$10=5,'Risk Register'!$F$10=3),'Risk Register'!$A$10,""),IF(AND('Risk Register'!$E$11=5,'Risk Register'!$F$11=3),'Risk Register'!$A$11,""),IF(AND('Risk Register'!$E$12=5,'Risk Register'!$F$12=3),'Risk Register'!$A$12,""),IF(AND('Risk Register'!$E$13=5,'Risk Register'!$F$13=3),'Risk Register'!$A$13,""),IF(AND('Risk Register'!$E$14=5,'Risk Register'!$F$14=3),'Risk Register'!$A$14,""),IF(AND('Risk Register'!$E$15=5,'Risk Register'!$F$15=3),'Risk Register'!$A$15,""),IF(AND('Risk Register'!$E$16=5,'Risk Register'!$F$16=3),'Risk Register'!$A$16,""),IF(AND('Risk Register'!$E$17=5,'Risk Register'!$F$17=3),'Risk Register'!$A$17,""),IF(AND('Risk Register'!$E$18=5,'Risk Register'!$F$18=3),'Risk Register'!$A$18,""),IF(AND('Risk Register'!$E$19=5,'Risk Register'!$F$19=3),'Risk Register'!$A$19,""),IF(AND('Risk Register'!$E$20=5,'Risk Register'!$F$20=3),'Risk Register'!$A$20,""),IF(AND('Risk Register'!$E$21=5,'Risk Register'!$F$21=3),'Risk Register'!$A$21,""),IF(AND('Risk Register'!$E$22=5,'Risk Register'!$F$22=3),'Risk Register'!$A$22,""),IF(AND('Risk Register'!$E$23=5,'Risk Register'!$F$23=3),'Risk Register'!$A$23,""),IF(AND('Risk Register'!$E$24=5,'Risk Register'!$F$24=3),'Risk Register'!$A$24,""),IF(AND('Risk Register'!$E$25=5,'Risk Register'!$F$25=3),'Risk Register'!$A$25,""),IF(AND('Risk Register'!$E$26=5,'Risk Register'!$F$26=3),'Risk Register'!$A$26,""),IF(AND('Risk Register'!$E$27=5,'Risk Register'!$F$27=3),'Risk Register'!$A$27,""),IF(AND('Risk Register'!$E$28=5,'Risk Register'!$F$28=3),'Risk Register'!$A$28,""),IF(AND('Risk Register'!$E$29=5,'Risk Register'!$F$29=3),'Risk Register'!$A$29,""),IF(AND('Risk Register'!$E$30=5,'Risk Register'!$F$30=3),'Risk Register'!$A$30,""),IF(AND('Risk Register'!$E$31=5,'Risk Register'!$F$31=3),'Risk Register'!$A$31,""),IF(AND('Risk Register'!$E$32=5,'Risk Register'!$F$32=3),'Risk Register'!$A$32,""),IF(AND('Risk Register'!$E$33=5,'Risk Register'!$F$33=3),'Risk Register'!$A$33,""),IF(AND('Risk Register'!$E$34=5,'Risk Register'!$F$34=3),'Risk Register'!$A$34,""))</f>
        <v/>
      </c>
      <c r="E4" s="12" t="str">
        <f aca="false">_xlfn.TEXTJOIN(", ",TRUE(),IF(AND('Risk Register'!$E$5=5,'Risk Register'!$F$5=4),'Risk Register'!$A$5,""),IF(AND('Risk Register'!$E$6=5,'Risk Register'!$F$6=4),'Risk Register'!$A$6,""),IF(AND('Risk Register'!$E$7=5,'Risk Register'!$F$7=4),'Risk Register'!$A$7,""),IF(AND('Risk Register'!$E$8=5,'Risk Register'!$F$8=4),'Risk Register'!$A$8,""),IF(AND('Risk Register'!$E$9=5,'Risk Register'!$F$9=4),'Risk Register'!$A$9,""),IF(AND('Risk Register'!$E$10=5,'Risk Register'!$F$10=4),'Risk Register'!$A$10,""),IF(AND('Risk Register'!$E$11=5,'Risk Register'!$F$11=4),'Risk Register'!$A$11,""),IF(AND('Risk Register'!$E$12=5,'Risk Register'!$F$12=4),'Risk Register'!$A$12,""),IF(AND('Risk Register'!$E$13=5,'Risk Register'!$F$13=4),'Risk Register'!$A$13,""),IF(AND('Risk Register'!$E$14=5,'Risk Register'!$F$14=4),'Risk Register'!$A$14,""),IF(AND('Risk Register'!$E$15=5,'Risk Register'!$F$15=4),'Risk Register'!$A$15,""),IF(AND('Risk Register'!$E$16=5,'Risk Register'!$F$16=4),'Risk Register'!$A$16,""),IF(AND('Risk Register'!$E$17=5,'Risk Register'!$F$17=4),'Risk Register'!$A$17,""),IF(AND('Risk Register'!$E$18=5,'Risk Register'!$F$18=4),'Risk Register'!$A$18,""),IF(AND('Risk Register'!$E$19=5,'Risk Register'!$F$19=4),'Risk Register'!$A$19,""),IF(AND('Risk Register'!$E$20=5,'Risk Register'!$F$20=4),'Risk Register'!$A$20,""),IF(AND('Risk Register'!$E$21=5,'Risk Register'!$F$21=4),'Risk Register'!$A$21,""),IF(AND('Risk Register'!$E$22=5,'Risk Register'!$F$22=4),'Risk Register'!$A$22,""),IF(AND('Risk Register'!$E$23=5,'Risk Register'!$F$23=4),'Risk Register'!$A$23,""),IF(AND('Risk Register'!$E$24=5,'Risk Register'!$F$24=4),'Risk Register'!$A$24,""),IF(AND('Risk Register'!$E$25=5,'Risk Register'!$F$25=4),'Risk Register'!$A$25,""),IF(AND('Risk Register'!$E$26=5,'Risk Register'!$F$26=4),'Risk Register'!$A$26,""),IF(AND('Risk Register'!$E$27=5,'Risk Register'!$F$27=4),'Risk Register'!$A$27,""),IF(AND('Risk Register'!$E$28=5,'Risk Register'!$F$28=4),'Risk Register'!$A$28,""),IF(AND('Risk Register'!$E$29=5,'Risk Register'!$F$29=4),'Risk Register'!$A$29,""),IF(AND('Risk Register'!$E$30=5,'Risk Register'!$F$30=4),'Risk Register'!$A$30,""),IF(AND('Risk Register'!$E$31=5,'Risk Register'!$F$31=4),'Risk Register'!$A$31,""),IF(AND('Risk Register'!$E$32=5,'Risk Register'!$F$32=4),'Risk Register'!$A$32,""),IF(AND('Risk Register'!$E$33=5,'Risk Register'!$F$33=4),'Risk Register'!$A$33,""),IF(AND('Risk Register'!$E$34=5,'Risk Register'!$F$34=4),'Risk Register'!$A$34,""))</f>
        <v/>
      </c>
      <c r="F4" s="12" t="str">
        <f aca="false">_xlfn.TEXTJOIN(", ",TRUE(),IF(AND('Risk Register'!$E$5=5,'Risk Register'!$F$5=5),'Risk Register'!$A$5,""),IF(AND('Risk Register'!$E$6=5,'Risk Register'!$F$6=5),'Risk Register'!$A$6,""),IF(AND('Risk Register'!$E$7=5,'Risk Register'!$F$7=5),'Risk Register'!$A$7,""),IF(AND('Risk Register'!$E$8=5,'Risk Register'!$F$8=5),'Risk Register'!$A$8,""),IF(AND('Risk Register'!$E$9=5,'Risk Register'!$F$9=5),'Risk Register'!$A$9,""),IF(AND('Risk Register'!$E$10=5,'Risk Register'!$F$10=5),'Risk Register'!$A$10,""),IF(AND('Risk Register'!$E$11=5,'Risk Register'!$F$11=5),'Risk Register'!$A$11,""),IF(AND('Risk Register'!$E$12=5,'Risk Register'!$F$12=5),'Risk Register'!$A$12,""),IF(AND('Risk Register'!$E$13=5,'Risk Register'!$F$13=5),'Risk Register'!$A$13,""),IF(AND('Risk Register'!$E$14=5,'Risk Register'!$F$14=5),'Risk Register'!$A$14,""),IF(AND('Risk Register'!$E$15=5,'Risk Register'!$F$15=5),'Risk Register'!$A$15,""),IF(AND('Risk Register'!$E$16=5,'Risk Register'!$F$16=5),'Risk Register'!$A$16,""),IF(AND('Risk Register'!$E$17=5,'Risk Register'!$F$17=5),'Risk Register'!$A$17,""),IF(AND('Risk Register'!$E$18=5,'Risk Register'!$F$18=5),'Risk Register'!$A$18,""),IF(AND('Risk Register'!$E$19=5,'Risk Register'!$F$19=5),'Risk Register'!$A$19,""),IF(AND('Risk Register'!$E$20=5,'Risk Register'!$F$20=5),'Risk Register'!$A$20,""),IF(AND('Risk Register'!$E$21=5,'Risk Register'!$F$21=5),'Risk Register'!$A$21,""),IF(AND('Risk Register'!$E$22=5,'Risk Register'!$F$22=5),'Risk Register'!$A$22,""),IF(AND('Risk Register'!$E$23=5,'Risk Register'!$F$23=5),'Risk Register'!$A$23,""),IF(AND('Risk Register'!$E$24=5,'Risk Register'!$F$24=5),'Risk Register'!$A$24,""),IF(AND('Risk Register'!$E$25=5,'Risk Register'!$F$25=5),'Risk Register'!$A$25,""),IF(AND('Risk Register'!$E$26=5,'Risk Register'!$F$26=5),'Risk Register'!$A$26,""),IF(AND('Risk Register'!$E$27=5,'Risk Register'!$F$27=5),'Risk Register'!$A$27,""),IF(AND('Risk Register'!$E$28=5,'Risk Register'!$F$28=5),'Risk Register'!$A$28,""),IF(AND('Risk Register'!$E$29=5,'Risk Register'!$F$29=5),'Risk Register'!$A$29,""),IF(AND('Risk Register'!$E$30=5,'Risk Register'!$F$30=5),'Risk Register'!$A$30,""),IF(AND('Risk Register'!$E$31=5,'Risk Register'!$F$31=5),'Risk Register'!$A$31,""),IF(AND('Risk Register'!$E$32=5,'Risk Register'!$F$32=5),'Risk Register'!$A$32,""),IF(AND('Risk Register'!$E$33=5,'Risk Register'!$F$33=5),'Risk Register'!$A$33,""),IF(AND('Risk Register'!$E$34=5,'Risk Register'!$F$34=5),'Risk Register'!$A$34,""))</f>
        <v/>
      </c>
    </row>
    <row r="5" customFormat="false" ht="61.5" hidden="false" customHeight="true" outlineLevel="0" collapsed="false">
      <c r="A5" s="9" t="s">
        <v>107</v>
      </c>
      <c r="B5" s="13" t="str">
        <f aca="false">_xlfn.TEXTJOIN(", ",TRUE(),IF(AND('Risk Register'!$E$5=4,'Risk Register'!$F$5=1),'Risk Register'!$A$5,""),IF(AND('Risk Register'!$E$6=4,'Risk Register'!$F$6=1),'Risk Register'!$A$6,""),IF(AND('Risk Register'!$E$7=4,'Risk Register'!$F$7=1),'Risk Register'!$A$7,""),IF(AND('Risk Register'!$E$8=4,'Risk Register'!$F$8=1),'Risk Register'!$A$8,""),IF(AND('Risk Register'!$E$9=4,'Risk Register'!$F$9=1),'Risk Register'!$A$9,""),IF(AND('Risk Register'!$E$10=4,'Risk Register'!$F$10=1),'Risk Register'!$A$10,""),IF(AND('Risk Register'!$E$11=4,'Risk Register'!$F$11=1),'Risk Register'!$A$11,""),IF(AND('Risk Register'!$E$12=4,'Risk Register'!$F$12=1),'Risk Register'!$A$12,""),IF(AND('Risk Register'!$E$13=4,'Risk Register'!$F$13=1),'Risk Register'!$A$13,""),IF(AND('Risk Register'!$E$14=4,'Risk Register'!$F$14=1),'Risk Register'!$A$14,""),IF(AND('Risk Register'!$E$15=4,'Risk Register'!$F$15=1),'Risk Register'!$A$15,""),IF(AND('Risk Register'!$E$16=4,'Risk Register'!$F$16=1),'Risk Register'!$A$16,""),IF(AND('Risk Register'!$E$17=4,'Risk Register'!$F$17=1),'Risk Register'!$A$17,""),IF(AND('Risk Register'!$E$18=4,'Risk Register'!$F$18=1),'Risk Register'!$A$18,""),IF(AND('Risk Register'!$E$19=4,'Risk Register'!$F$19=1),'Risk Register'!$A$19,""),IF(AND('Risk Register'!$E$20=4,'Risk Register'!$F$20=1),'Risk Register'!$A$20,""),IF(AND('Risk Register'!$E$21=4,'Risk Register'!$F$21=1),'Risk Register'!$A$21,""),IF(AND('Risk Register'!$E$22=4,'Risk Register'!$F$22=1),'Risk Register'!$A$22,""),IF(AND('Risk Register'!$E$23=4,'Risk Register'!$F$23=1),'Risk Register'!$A$23,""),IF(AND('Risk Register'!$E$24=4,'Risk Register'!$F$24=1),'Risk Register'!$A$24,""),IF(AND('Risk Register'!$E$25=4,'Risk Register'!$F$25=1),'Risk Register'!$A$25,""),IF(AND('Risk Register'!$E$26=4,'Risk Register'!$F$26=1),'Risk Register'!$A$26,""),IF(AND('Risk Register'!$E$27=4,'Risk Register'!$F$27=1),'Risk Register'!$A$27,""),IF(AND('Risk Register'!$E$28=4,'Risk Register'!$F$28=1),'Risk Register'!$A$28,""),IF(AND('Risk Register'!$E$29=4,'Risk Register'!$F$29=1),'Risk Register'!$A$29,""),IF(AND('Risk Register'!$E$30=4,'Risk Register'!$F$30=1),'Risk Register'!$A$30,""),IF(AND('Risk Register'!$E$31=4,'Risk Register'!$F$31=1),'Risk Register'!$A$31,""),IF(AND('Risk Register'!$E$32=4,'Risk Register'!$F$32=1),'Risk Register'!$A$32,""),IF(AND('Risk Register'!$E$33=4,'Risk Register'!$F$33=1),'Risk Register'!$A$33,""),IF(AND('Risk Register'!$E$34=4,'Risk Register'!$F$34=1),'Risk Register'!$A$34,""))</f>
        <v/>
      </c>
      <c r="C5" s="10" t="str">
        <f aca="false">_xlfn.TEXTJOIN(", ",TRUE(),IF(AND('Risk Register'!$E$5=4,'Risk Register'!$F$5=2),'Risk Register'!$A$5,""),IF(AND('Risk Register'!$E$6=4,'Risk Register'!$F$6=2),'Risk Register'!$A$6,""),IF(AND('Risk Register'!$E$7=4,'Risk Register'!$F$7=2),'Risk Register'!$A$7,""),IF(AND('Risk Register'!$E$8=4,'Risk Register'!$F$8=2),'Risk Register'!$A$8,""),IF(AND('Risk Register'!$E$9=4,'Risk Register'!$F$9=2),'Risk Register'!$A$9,""),IF(AND('Risk Register'!$E$10=4,'Risk Register'!$F$10=2),'Risk Register'!$A$10,""),IF(AND('Risk Register'!$E$11=4,'Risk Register'!$F$11=2),'Risk Register'!$A$11,""),IF(AND('Risk Register'!$E$12=4,'Risk Register'!$F$12=2),'Risk Register'!$A$12,""),IF(AND('Risk Register'!$E$13=4,'Risk Register'!$F$13=2),'Risk Register'!$A$13,""),IF(AND('Risk Register'!$E$14=4,'Risk Register'!$F$14=2),'Risk Register'!$A$14,""),IF(AND('Risk Register'!$E$15=4,'Risk Register'!$F$15=2),'Risk Register'!$A$15,""),IF(AND('Risk Register'!$E$16=4,'Risk Register'!$F$16=2),'Risk Register'!$A$16,""),IF(AND('Risk Register'!$E$17=4,'Risk Register'!$F$17=2),'Risk Register'!$A$17,""),IF(AND('Risk Register'!$E$18=4,'Risk Register'!$F$18=2),'Risk Register'!$A$18,""),IF(AND('Risk Register'!$E$19=4,'Risk Register'!$F$19=2),'Risk Register'!$A$19,""),IF(AND('Risk Register'!$E$20=4,'Risk Register'!$F$20=2),'Risk Register'!$A$20,""),IF(AND('Risk Register'!$E$21=4,'Risk Register'!$F$21=2),'Risk Register'!$A$21,""),IF(AND('Risk Register'!$E$22=4,'Risk Register'!$F$22=2),'Risk Register'!$A$22,""),IF(AND('Risk Register'!$E$23=4,'Risk Register'!$F$23=2),'Risk Register'!$A$23,""),IF(AND('Risk Register'!$E$24=4,'Risk Register'!$F$24=2),'Risk Register'!$A$24,""),IF(AND('Risk Register'!$E$25=4,'Risk Register'!$F$25=2),'Risk Register'!$A$25,""),IF(AND('Risk Register'!$E$26=4,'Risk Register'!$F$26=2),'Risk Register'!$A$26,""),IF(AND('Risk Register'!$E$27=4,'Risk Register'!$F$27=2),'Risk Register'!$A$27,""),IF(AND('Risk Register'!$E$28=4,'Risk Register'!$F$28=2),'Risk Register'!$A$28,""),IF(AND('Risk Register'!$E$29=4,'Risk Register'!$F$29=2),'Risk Register'!$A$29,""),IF(AND('Risk Register'!$E$30=4,'Risk Register'!$F$30=2),'Risk Register'!$A$30,""),IF(AND('Risk Register'!$E$31=4,'Risk Register'!$F$31=2),'Risk Register'!$A$31,""),IF(AND('Risk Register'!$E$32=4,'Risk Register'!$F$32=2),'Risk Register'!$A$32,""),IF(AND('Risk Register'!$E$33=4,'Risk Register'!$F$33=2),'Risk Register'!$A$33,""),IF(AND('Risk Register'!$E$34=4,'Risk Register'!$F$34=2),'Risk Register'!$A$34,""))</f>
        <v/>
      </c>
      <c r="D5" s="11" t="str">
        <f aca="false">_xlfn.TEXTJOIN(", ",TRUE(),IF(AND('Risk Register'!$E$5=4,'Risk Register'!$F$5=3),'Risk Register'!$A$5,""),IF(AND('Risk Register'!$E$6=4,'Risk Register'!$F$6=3),'Risk Register'!$A$6,""),IF(AND('Risk Register'!$E$7=4,'Risk Register'!$F$7=3),'Risk Register'!$A$7,""),IF(AND('Risk Register'!$E$8=4,'Risk Register'!$F$8=3),'Risk Register'!$A$8,""),IF(AND('Risk Register'!$E$9=4,'Risk Register'!$F$9=3),'Risk Register'!$A$9,""),IF(AND('Risk Register'!$E$10=4,'Risk Register'!$F$10=3),'Risk Register'!$A$10,""),IF(AND('Risk Register'!$E$11=4,'Risk Register'!$F$11=3),'Risk Register'!$A$11,""),IF(AND('Risk Register'!$E$12=4,'Risk Register'!$F$12=3),'Risk Register'!$A$12,""),IF(AND('Risk Register'!$E$13=4,'Risk Register'!$F$13=3),'Risk Register'!$A$13,""),IF(AND('Risk Register'!$E$14=4,'Risk Register'!$F$14=3),'Risk Register'!$A$14,""),IF(AND('Risk Register'!$E$15=4,'Risk Register'!$F$15=3),'Risk Register'!$A$15,""),IF(AND('Risk Register'!$E$16=4,'Risk Register'!$F$16=3),'Risk Register'!$A$16,""),IF(AND('Risk Register'!$E$17=4,'Risk Register'!$F$17=3),'Risk Register'!$A$17,""),IF(AND('Risk Register'!$E$18=4,'Risk Register'!$F$18=3),'Risk Register'!$A$18,""),IF(AND('Risk Register'!$E$19=4,'Risk Register'!$F$19=3),'Risk Register'!$A$19,""),IF(AND('Risk Register'!$E$20=4,'Risk Register'!$F$20=3),'Risk Register'!$A$20,""),IF(AND('Risk Register'!$E$21=4,'Risk Register'!$F$21=3),'Risk Register'!$A$21,""),IF(AND('Risk Register'!$E$22=4,'Risk Register'!$F$22=3),'Risk Register'!$A$22,""),IF(AND('Risk Register'!$E$23=4,'Risk Register'!$F$23=3),'Risk Register'!$A$23,""),IF(AND('Risk Register'!$E$24=4,'Risk Register'!$F$24=3),'Risk Register'!$A$24,""),IF(AND('Risk Register'!$E$25=4,'Risk Register'!$F$25=3),'Risk Register'!$A$25,""),IF(AND('Risk Register'!$E$26=4,'Risk Register'!$F$26=3),'Risk Register'!$A$26,""),IF(AND('Risk Register'!$E$27=4,'Risk Register'!$F$27=3),'Risk Register'!$A$27,""),IF(AND('Risk Register'!$E$28=4,'Risk Register'!$F$28=3),'Risk Register'!$A$28,""),IF(AND('Risk Register'!$E$29=4,'Risk Register'!$F$29=3),'Risk Register'!$A$29,""),IF(AND('Risk Register'!$E$30=4,'Risk Register'!$F$30=3),'Risk Register'!$A$30,""),IF(AND('Risk Register'!$E$31=4,'Risk Register'!$F$31=3),'Risk Register'!$A$31,""),IF(AND('Risk Register'!$E$32=4,'Risk Register'!$F$32=3),'Risk Register'!$A$32,""),IF(AND('Risk Register'!$E$33=4,'Risk Register'!$F$33=3),'Risk Register'!$A$33,""),IF(AND('Risk Register'!$E$34=4,'Risk Register'!$F$34=3),'Risk Register'!$A$34,""))</f>
        <v/>
      </c>
      <c r="E5" s="11" t="str">
        <f aca="false">_xlfn.TEXTJOIN(", ",TRUE(),IF(AND('Risk Register'!$E$5=4,'Risk Register'!$F$5=4),'Risk Register'!$A$5,""),IF(AND('Risk Register'!$E$6=4,'Risk Register'!$F$6=4),'Risk Register'!$A$6,""),IF(AND('Risk Register'!$E$7=4,'Risk Register'!$F$7=4),'Risk Register'!$A$7,""),IF(AND('Risk Register'!$E$8=4,'Risk Register'!$F$8=4),'Risk Register'!$A$8,""),IF(AND('Risk Register'!$E$9=4,'Risk Register'!$F$9=4),'Risk Register'!$A$9,""),IF(AND('Risk Register'!$E$10=4,'Risk Register'!$F$10=4),'Risk Register'!$A$10,""),IF(AND('Risk Register'!$E$11=4,'Risk Register'!$F$11=4),'Risk Register'!$A$11,""),IF(AND('Risk Register'!$E$12=4,'Risk Register'!$F$12=4),'Risk Register'!$A$12,""),IF(AND('Risk Register'!$E$13=4,'Risk Register'!$F$13=4),'Risk Register'!$A$13,""),IF(AND('Risk Register'!$E$14=4,'Risk Register'!$F$14=4),'Risk Register'!$A$14,""),IF(AND('Risk Register'!$E$15=4,'Risk Register'!$F$15=4),'Risk Register'!$A$15,""),IF(AND('Risk Register'!$E$16=4,'Risk Register'!$F$16=4),'Risk Register'!$A$16,""),IF(AND('Risk Register'!$E$17=4,'Risk Register'!$F$17=4),'Risk Register'!$A$17,""),IF(AND('Risk Register'!$E$18=4,'Risk Register'!$F$18=4),'Risk Register'!$A$18,""),IF(AND('Risk Register'!$E$19=4,'Risk Register'!$F$19=4),'Risk Register'!$A$19,""),IF(AND('Risk Register'!$E$20=4,'Risk Register'!$F$20=4),'Risk Register'!$A$20,""),IF(AND('Risk Register'!$E$21=4,'Risk Register'!$F$21=4),'Risk Register'!$A$21,""),IF(AND('Risk Register'!$E$22=4,'Risk Register'!$F$22=4),'Risk Register'!$A$22,""),IF(AND('Risk Register'!$E$23=4,'Risk Register'!$F$23=4),'Risk Register'!$A$23,""),IF(AND('Risk Register'!$E$24=4,'Risk Register'!$F$24=4),'Risk Register'!$A$24,""),IF(AND('Risk Register'!$E$25=4,'Risk Register'!$F$25=4),'Risk Register'!$A$25,""),IF(AND('Risk Register'!$E$26=4,'Risk Register'!$F$26=4),'Risk Register'!$A$26,""),IF(AND('Risk Register'!$E$27=4,'Risk Register'!$F$27=4),'Risk Register'!$A$27,""),IF(AND('Risk Register'!$E$28=4,'Risk Register'!$F$28=4),'Risk Register'!$A$28,""),IF(AND('Risk Register'!$E$29=4,'Risk Register'!$F$29=4),'Risk Register'!$A$29,""),IF(AND('Risk Register'!$E$30=4,'Risk Register'!$F$30=4),'Risk Register'!$A$30,""),IF(AND('Risk Register'!$E$31=4,'Risk Register'!$F$31=4),'Risk Register'!$A$31,""),IF(AND('Risk Register'!$E$32=4,'Risk Register'!$F$32=4),'Risk Register'!$A$32,""),IF(AND('Risk Register'!$E$33=4,'Risk Register'!$F$33=4),'Risk Register'!$A$33,""),IF(AND('Risk Register'!$E$34=4,'Risk Register'!$F$34=4),'Risk Register'!$A$34,""))</f>
        <v>R04, R05, R06</v>
      </c>
      <c r="F5" s="12" t="str">
        <f aca="false">_xlfn.TEXTJOIN(", ",TRUE(),IF(AND('Risk Register'!$E$5=4,'Risk Register'!$F$5=5),'Risk Register'!$A$5,""),IF(AND('Risk Register'!$E$6=4,'Risk Register'!$F$6=5),'Risk Register'!$A$6,""),IF(AND('Risk Register'!$E$7=4,'Risk Register'!$F$7=5),'Risk Register'!$A$7,""),IF(AND('Risk Register'!$E$8=4,'Risk Register'!$F$8=5),'Risk Register'!$A$8,""),IF(AND('Risk Register'!$E$9=4,'Risk Register'!$F$9=5),'Risk Register'!$A$9,""),IF(AND('Risk Register'!$E$10=4,'Risk Register'!$F$10=5),'Risk Register'!$A$10,""),IF(AND('Risk Register'!$E$11=4,'Risk Register'!$F$11=5),'Risk Register'!$A$11,""),IF(AND('Risk Register'!$E$12=4,'Risk Register'!$F$12=5),'Risk Register'!$A$12,""),IF(AND('Risk Register'!$E$13=4,'Risk Register'!$F$13=5),'Risk Register'!$A$13,""),IF(AND('Risk Register'!$E$14=4,'Risk Register'!$F$14=5),'Risk Register'!$A$14,""),IF(AND('Risk Register'!$E$15=4,'Risk Register'!$F$15=5),'Risk Register'!$A$15,""),IF(AND('Risk Register'!$E$16=4,'Risk Register'!$F$16=5),'Risk Register'!$A$16,""),IF(AND('Risk Register'!$E$17=4,'Risk Register'!$F$17=5),'Risk Register'!$A$17,""),IF(AND('Risk Register'!$E$18=4,'Risk Register'!$F$18=5),'Risk Register'!$A$18,""),IF(AND('Risk Register'!$E$19=4,'Risk Register'!$F$19=5),'Risk Register'!$A$19,""),IF(AND('Risk Register'!$E$20=4,'Risk Register'!$F$20=5),'Risk Register'!$A$20,""),IF(AND('Risk Register'!$E$21=4,'Risk Register'!$F$21=5),'Risk Register'!$A$21,""),IF(AND('Risk Register'!$E$22=4,'Risk Register'!$F$22=5),'Risk Register'!$A$22,""),IF(AND('Risk Register'!$E$23=4,'Risk Register'!$F$23=5),'Risk Register'!$A$23,""),IF(AND('Risk Register'!$E$24=4,'Risk Register'!$F$24=5),'Risk Register'!$A$24,""),IF(AND('Risk Register'!$E$25=4,'Risk Register'!$F$25=5),'Risk Register'!$A$25,""),IF(AND('Risk Register'!$E$26=4,'Risk Register'!$F$26=5),'Risk Register'!$A$26,""),IF(AND('Risk Register'!$E$27=4,'Risk Register'!$F$27=5),'Risk Register'!$A$27,""),IF(AND('Risk Register'!$E$28=4,'Risk Register'!$F$28=5),'Risk Register'!$A$28,""),IF(AND('Risk Register'!$E$29=4,'Risk Register'!$F$29=5),'Risk Register'!$A$29,""),IF(AND('Risk Register'!$E$30=4,'Risk Register'!$F$30=5),'Risk Register'!$A$30,""),IF(AND('Risk Register'!$E$31=4,'Risk Register'!$F$31=5),'Risk Register'!$A$31,""),IF(AND('Risk Register'!$E$32=4,'Risk Register'!$F$32=5),'Risk Register'!$A$32,""),IF(AND('Risk Register'!$E$33=4,'Risk Register'!$F$33=5),'Risk Register'!$A$33,""),IF(AND('Risk Register'!$E$34=4,'Risk Register'!$F$34=5),'Risk Register'!$A$34,""))</f>
        <v>R01</v>
      </c>
    </row>
    <row r="6" customFormat="false" ht="61.5" hidden="false" customHeight="true" outlineLevel="0" collapsed="false">
      <c r="A6" s="9" t="s">
        <v>103</v>
      </c>
      <c r="B6" s="13" t="str">
        <f aca="false">_xlfn.TEXTJOIN(", ",TRUE(),IF(AND('Risk Register'!$E$5=3,'Risk Register'!$F$5=1),'Risk Register'!$A$5,""),IF(AND('Risk Register'!$E$6=3,'Risk Register'!$F$6=1),'Risk Register'!$A$6,""),IF(AND('Risk Register'!$E$7=3,'Risk Register'!$F$7=1),'Risk Register'!$A$7,""),IF(AND('Risk Register'!$E$8=3,'Risk Register'!$F$8=1),'Risk Register'!$A$8,""),IF(AND('Risk Register'!$E$9=3,'Risk Register'!$F$9=1),'Risk Register'!$A$9,""),IF(AND('Risk Register'!$E$10=3,'Risk Register'!$F$10=1),'Risk Register'!$A$10,""),IF(AND('Risk Register'!$E$11=3,'Risk Register'!$F$11=1),'Risk Register'!$A$11,""),IF(AND('Risk Register'!$E$12=3,'Risk Register'!$F$12=1),'Risk Register'!$A$12,""),IF(AND('Risk Register'!$E$13=3,'Risk Register'!$F$13=1),'Risk Register'!$A$13,""),IF(AND('Risk Register'!$E$14=3,'Risk Register'!$F$14=1),'Risk Register'!$A$14,""),IF(AND('Risk Register'!$E$15=3,'Risk Register'!$F$15=1),'Risk Register'!$A$15,""),IF(AND('Risk Register'!$E$16=3,'Risk Register'!$F$16=1),'Risk Register'!$A$16,""),IF(AND('Risk Register'!$E$17=3,'Risk Register'!$F$17=1),'Risk Register'!$A$17,""),IF(AND('Risk Register'!$E$18=3,'Risk Register'!$F$18=1),'Risk Register'!$A$18,""),IF(AND('Risk Register'!$E$19=3,'Risk Register'!$F$19=1),'Risk Register'!$A$19,""),IF(AND('Risk Register'!$E$20=3,'Risk Register'!$F$20=1),'Risk Register'!$A$20,""),IF(AND('Risk Register'!$E$21=3,'Risk Register'!$F$21=1),'Risk Register'!$A$21,""),IF(AND('Risk Register'!$E$22=3,'Risk Register'!$F$22=1),'Risk Register'!$A$22,""),IF(AND('Risk Register'!$E$23=3,'Risk Register'!$F$23=1),'Risk Register'!$A$23,""),IF(AND('Risk Register'!$E$24=3,'Risk Register'!$F$24=1),'Risk Register'!$A$24,""),IF(AND('Risk Register'!$E$25=3,'Risk Register'!$F$25=1),'Risk Register'!$A$25,""),IF(AND('Risk Register'!$E$26=3,'Risk Register'!$F$26=1),'Risk Register'!$A$26,""),IF(AND('Risk Register'!$E$27=3,'Risk Register'!$F$27=1),'Risk Register'!$A$27,""),IF(AND('Risk Register'!$E$28=3,'Risk Register'!$F$28=1),'Risk Register'!$A$28,""),IF(AND('Risk Register'!$E$29=3,'Risk Register'!$F$29=1),'Risk Register'!$A$29,""),IF(AND('Risk Register'!$E$30=3,'Risk Register'!$F$30=1),'Risk Register'!$A$30,""),IF(AND('Risk Register'!$E$31=3,'Risk Register'!$F$31=1),'Risk Register'!$A$31,""),IF(AND('Risk Register'!$E$32=3,'Risk Register'!$F$32=1),'Risk Register'!$A$32,""),IF(AND('Risk Register'!$E$33=3,'Risk Register'!$F$33=1),'Risk Register'!$A$33,""),IF(AND('Risk Register'!$E$34=3,'Risk Register'!$F$34=1),'Risk Register'!$A$34,""))</f>
        <v/>
      </c>
      <c r="C6" s="10" t="str">
        <f aca="false">_xlfn.TEXTJOIN(", ",TRUE(),IF(AND('Risk Register'!$E$5=3,'Risk Register'!$F$5=2),'Risk Register'!$A$5,""),IF(AND('Risk Register'!$E$6=3,'Risk Register'!$F$6=2),'Risk Register'!$A$6,""),IF(AND('Risk Register'!$E$7=3,'Risk Register'!$F$7=2),'Risk Register'!$A$7,""),IF(AND('Risk Register'!$E$8=3,'Risk Register'!$F$8=2),'Risk Register'!$A$8,""),IF(AND('Risk Register'!$E$9=3,'Risk Register'!$F$9=2),'Risk Register'!$A$9,""),IF(AND('Risk Register'!$E$10=3,'Risk Register'!$F$10=2),'Risk Register'!$A$10,""),IF(AND('Risk Register'!$E$11=3,'Risk Register'!$F$11=2),'Risk Register'!$A$11,""),IF(AND('Risk Register'!$E$12=3,'Risk Register'!$F$12=2),'Risk Register'!$A$12,""),IF(AND('Risk Register'!$E$13=3,'Risk Register'!$F$13=2),'Risk Register'!$A$13,""),IF(AND('Risk Register'!$E$14=3,'Risk Register'!$F$14=2),'Risk Register'!$A$14,""),IF(AND('Risk Register'!$E$15=3,'Risk Register'!$F$15=2),'Risk Register'!$A$15,""),IF(AND('Risk Register'!$E$16=3,'Risk Register'!$F$16=2),'Risk Register'!$A$16,""),IF(AND('Risk Register'!$E$17=3,'Risk Register'!$F$17=2),'Risk Register'!$A$17,""),IF(AND('Risk Register'!$E$18=3,'Risk Register'!$F$18=2),'Risk Register'!$A$18,""),IF(AND('Risk Register'!$E$19=3,'Risk Register'!$F$19=2),'Risk Register'!$A$19,""),IF(AND('Risk Register'!$E$20=3,'Risk Register'!$F$20=2),'Risk Register'!$A$20,""),IF(AND('Risk Register'!$E$21=3,'Risk Register'!$F$21=2),'Risk Register'!$A$21,""),IF(AND('Risk Register'!$E$22=3,'Risk Register'!$F$22=2),'Risk Register'!$A$22,""),IF(AND('Risk Register'!$E$23=3,'Risk Register'!$F$23=2),'Risk Register'!$A$23,""),IF(AND('Risk Register'!$E$24=3,'Risk Register'!$F$24=2),'Risk Register'!$A$24,""),IF(AND('Risk Register'!$E$25=3,'Risk Register'!$F$25=2),'Risk Register'!$A$25,""),IF(AND('Risk Register'!$E$26=3,'Risk Register'!$F$26=2),'Risk Register'!$A$26,""),IF(AND('Risk Register'!$E$27=3,'Risk Register'!$F$27=2),'Risk Register'!$A$27,""),IF(AND('Risk Register'!$E$28=3,'Risk Register'!$F$28=2),'Risk Register'!$A$28,""),IF(AND('Risk Register'!$E$29=3,'Risk Register'!$F$29=2),'Risk Register'!$A$29,""),IF(AND('Risk Register'!$E$30=3,'Risk Register'!$F$30=2),'Risk Register'!$A$30,""),IF(AND('Risk Register'!$E$31=3,'Risk Register'!$F$31=2),'Risk Register'!$A$31,""),IF(AND('Risk Register'!$E$32=3,'Risk Register'!$F$32=2),'Risk Register'!$A$32,""),IF(AND('Risk Register'!$E$33=3,'Risk Register'!$F$33=2),'Risk Register'!$A$33,""),IF(AND('Risk Register'!$E$34=3,'Risk Register'!$F$34=2),'Risk Register'!$A$34,""))</f>
        <v/>
      </c>
      <c r="D6" s="10" t="str">
        <f aca="false">_xlfn.TEXTJOIN(", ",TRUE(),IF(AND('Risk Register'!$E$5=3,'Risk Register'!$F$5=3),'Risk Register'!$A$5,""),IF(AND('Risk Register'!$E$6=3,'Risk Register'!$F$6=3),'Risk Register'!$A$6,""),IF(AND('Risk Register'!$E$7=3,'Risk Register'!$F$7=3),'Risk Register'!$A$7,""),IF(AND('Risk Register'!$E$8=3,'Risk Register'!$F$8=3),'Risk Register'!$A$8,""),IF(AND('Risk Register'!$E$9=3,'Risk Register'!$F$9=3),'Risk Register'!$A$9,""),IF(AND('Risk Register'!$E$10=3,'Risk Register'!$F$10=3),'Risk Register'!$A$10,""),IF(AND('Risk Register'!$E$11=3,'Risk Register'!$F$11=3),'Risk Register'!$A$11,""),IF(AND('Risk Register'!$E$12=3,'Risk Register'!$F$12=3),'Risk Register'!$A$12,""),IF(AND('Risk Register'!$E$13=3,'Risk Register'!$F$13=3),'Risk Register'!$A$13,""),IF(AND('Risk Register'!$E$14=3,'Risk Register'!$F$14=3),'Risk Register'!$A$14,""),IF(AND('Risk Register'!$E$15=3,'Risk Register'!$F$15=3),'Risk Register'!$A$15,""),IF(AND('Risk Register'!$E$16=3,'Risk Register'!$F$16=3),'Risk Register'!$A$16,""),IF(AND('Risk Register'!$E$17=3,'Risk Register'!$F$17=3),'Risk Register'!$A$17,""),IF(AND('Risk Register'!$E$18=3,'Risk Register'!$F$18=3),'Risk Register'!$A$18,""),IF(AND('Risk Register'!$E$19=3,'Risk Register'!$F$19=3),'Risk Register'!$A$19,""),IF(AND('Risk Register'!$E$20=3,'Risk Register'!$F$20=3),'Risk Register'!$A$20,""),IF(AND('Risk Register'!$E$21=3,'Risk Register'!$F$21=3),'Risk Register'!$A$21,""),IF(AND('Risk Register'!$E$22=3,'Risk Register'!$F$22=3),'Risk Register'!$A$22,""),IF(AND('Risk Register'!$E$23=3,'Risk Register'!$F$23=3),'Risk Register'!$A$23,""),IF(AND('Risk Register'!$E$24=3,'Risk Register'!$F$24=3),'Risk Register'!$A$24,""),IF(AND('Risk Register'!$E$25=3,'Risk Register'!$F$25=3),'Risk Register'!$A$25,""),IF(AND('Risk Register'!$E$26=3,'Risk Register'!$F$26=3),'Risk Register'!$A$26,""),IF(AND('Risk Register'!$E$27=3,'Risk Register'!$F$27=3),'Risk Register'!$A$27,""),IF(AND('Risk Register'!$E$28=3,'Risk Register'!$F$28=3),'Risk Register'!$A$28,""),IF(AND('Risk Register'!$E$29=3,'Risk Register'!$F$29=3),'Risk Register'!$A$29,""),IF(AND('Risk Register'!$E$30=3,'Risk Register'!$F$30=3),'Risk Register'!$A$30,""),IF(AND('Risk Register'!$E$31=3,'Risk Register'!$F$31=3),'Risk Register'!$A$31,""),IF(AND('Risk Register'!$E$32=3,'Risk Register'!$F$32=3),'Risk Register'!$A$32,""),IF(AND('Risk Register'!$E$33=3,'Risk Register'!$F$33=3),'Risk Register'!$A$33,""),IF(AND('Risk Register'!$E$34=3,'Risk Register'!$F$34=3),'Risk Register'!$A$34,""))</f>
        <v>R12, R13</v>
      </c>
      <c r="E6" s="11" t="str">
        <f aca="false">_xlfn.TEXTJOIN(", ",TRUE(),IF(AND('Risk Register'!$E$5=3,'Risk Register'!$F$5=4),'Risk Register'!$A$5,""),IF(AND('Risk Register'!$E$6=3,'Risk Register'!$F$6=4),'Risk Register'!$A$6,""),IF(AND('Risk Register'!$E$7=3,'Risk Register'!$F$7=4),'Risk Register'!$A$7,""),IF(AND('Risk Register'!$E$8=3,'Risk Register'!$F$8=4),'Risk Register'!$A$8,""),IF(AND('Risk Register'!$E$9=3,'Risk Register'!$F$9=4),'Risk Register'!$A$9,""),IF(AND('Risk Register'!$E$10=3,'Risk Register'!$F$10=4),'Risk Register'!$A$10,""),IF(AND('Risk Register'!$E$11=3,'Risk Register'!$F$11=4),'Risk Register'!$A$11,""),IF(AND('Risk Register'!$E$12=3,'Risk Register'!$F$12=4),'Risk Register'!$A$12,""),IF(AND('Risk Register'!$E$13=3,'Risk Register'!$F$13=4),'Risk Register'!$A$13,""),IF(AND('Risk Register'!$E$14=3,'Risk Register'!$F$14=4),'Risk Register'!$A$14,""),IF(AND('Risk Register'!$E$15=3,'Risk Register'!$F$15=4),'Risk Register'!$A$15,""),IF(AND('Risk Register'!$E$16=3,'Risk Register'!$F$16=4),'Risk Register'!$A$16,""),IF(AND('Risk Register'!$E$17=3,'Risk Register'!$F$17=4),'Risk Register'!$A$17,""),IF(AND('Risk Register'!$E$18=3,'Risk Register'!$F$18=4),'Risk Register'!$A$18,""),IF(AND('Risk Register'!$E$19=3,'Risk Register'!$F$19=4),'Risk Register'!$A$19,""),IF(AND('Risk Register'!$E$20=3,'Risk Register'!$F$20=4),'Risk Register'!$A$20,""),IF(AND('Risk Register'!$E$21=3,'Risk Register'!$F$21=4),'Risk Register'!$A$21,""),IF(AND('Risk Register'!$E$22=3,'Risk Register'!$F$22=4),'Risk Register'!$A$22,""),IF(AND('Risk Register'!$E$23=3,'Risk Register'!$F$23=4),'Risk Register'!$A$23,""),IF(AND('Risk Register'!$E$24=3,'Risk Register'!$F$24=4),'Risk Register'!$A$24,""),IF(AND('Risk Register'!$E$25=3,'Risk Register'!$F$25=4),'Risk Register'!$A$25,""),IF(AND('Risk Register'!$E$26=3,'Risk Register'!$F$26=4),'Risk Register'!$A$26,""),IF(AND('Risk Register'!$E$27=3,'Risk Register'!$F$27=4),'Risk Register'!$A$27,""),IF(AND('Risk Register'!$E$28=3,'Risk Register'!$F$28=4),'Risk Register'!$A$28,""),IF(AND('Risk Register'!$E$29=3,'Risk Register'!$F$29=4),'Risk Register'!$A$29,""),IF(AND('Risk Register'!$E$30=3,'Risk Register'!$F$30=4),'Risk Register'!$A$30,""),IF(AND('Risk Register'!$E$31=3,'Risk Register'!$F$31=4),'Risk Register'!$A$31,""),IF(AND('Risk Register'!$E$32=3,'Risk Register'!$F$32=4),'Risk Register'!$A$32,""),IF(AND('Risk Register'!$E$33=3,'Risk Register'!$F$33=4),'Risk Register'!$A$33,""),IF(AND('Risk Register'!$E$34=3,'Risk Register'!$F$34=4),'Risk Register'!$A$34,""))</f>
        <v>R03, R08, R09, R10</v>
      </c>
      <c r="F6" s="11" t="str">
        <f aca="false">_xlfn.TEXTJOIN(", ",TRUE(),IF(AND('Risk Register'!$E$5=3,'Risk Register'!$F$5=5),'Risk Register'!$A$5,""),IF(AND('Risk Register'!$E$6=3,'Risk Register'!$F$6=5),'Risk Register'!$A$6,""),IF(AND('Risk Register'!$E$7=3,'Risk Register'!$F$7=5),'Risk Register'!$A$7,""),IF(AND('Risk Register'!$E$8=3,'Risk Register'!$F$8=5),'Risk Register'!$A$8,""),IF(AND('Risk Register'!$E$9=3,'Risk Register'!$F$9=5),'Risk Register'!$A$9,""),IF(AND('Risk Register'!$E$10=3,'Risk Register'!$F$10=5),'Risk Register'!$A$10,""),IF(AND('Risk Register'!$E$11=3,'Risk Register'!$F$11=5),'Risk Register'!$A$11,""),IF(AND('Risk Register'!$E$12=3,'Risk Register'!$F$12=5),'Risk Register'!$A$12,""),IF(AND('Risk Register'!$E$13=3,'Risk Register'!$F$13=5),'Risk Register'!$A$13,""),IF(AND('Risk Register'!$E$14=3,'Risk Register'!$F$14=5),'Risk Register'!$A$14,""),IF(AND('Risk Register'!$E$15=3,'Risk Register'!$F$15=5),'Risk Register'!$A$15,""),IF(AND('Risk Register'!$E$16=3,'Risk Register'!$F$16=5),'Risk Register'!$A$16,""),IF(AND('Risk Register'!$E$17=3,'Risk Register'!$F$17=5),'Risk Register'!$A$17,""),IF(AND('Risk Register'!$E$18=3,'Risk Register'!$F$18=5),'Risk Register'!$A$18,""),IF(AND('Risk Register'!$E$19=3,'Risk Register'!$F$19=5),'Risk Register'!$A$19,""),IF(AND('Risk Register'!$E$20=3,'Risk Register'!$F$20=5),'Risk Register'!$A$20,""),IF(AND('Risk Register'!$E$21=3,'Risk Register'!$F$21=5),'Risk Register'!$A$21,""),IF(AND('Risk Register'!$E$22=3,'Risk Register'!$F$22=5),'Risk Register'!$A$22,""),IF(AND('Risk Register'!$E$23=3,'Risk Register'!$F$23=5),'Risk Register'!$A$23,""),IF(AND('Risk Register'!$E$24=3,'Risk Register'!$F$24=5),'Risk Register'!$A$24,""),IF(AND('Risk Register'!$E$25=3,'Risk Register'!$F$25=5),'Risk Register'!$A$25,""),IF(AND('Risk Register'!$E$26=3,'Risk Register'!$F$26=5),'Risk Register'!$A$26,""),IF(AND('Risk Register'!$E$27=3,'Risk Register'!$F$27=5),'Risk Register'!$A$27,""),IF(AND('Risk Register'!$E$28=3,'Risk Register'!$F$28=5),'Risk Register'!$A$28,""),IF(AND('Risk Register'!$E$29=3,'Risk Register'!$F$29=5),'Risk Register'!$A$29,""),IF(AND('Risk Register'!$E$30=3,'Risk Register'!$F$30=5),'Risk Register'!$A$30,""),IF(AND('Risk Register'!$E$31=3,'Risk Register'!$F$31=5),'Risk Register'!$A$31,""),IF(AND('Risk Register'!$E$32=3,'Risk Register'!$F$32=5),'Risk Register'!$A$32,""),IF(AND('Risk Register'!$E$33=3,'Risk Register'!$F$33=5),'Risk Register'!$A$33,""),IF(AND('Risk Register'!$E$34=3,'Risk Register'!$F$34=5),'Risk Register'!$A$34,""))</f>
        <v>R02</v>
      </c>
    </row>
    <row r="7" customFormat="false" ht="61.5" hidden="false" customHeight="true" outlineLevel="0" collapsed="false">
      <c r="A7" s="9" t="s">
        <v>108</v>
      </c>
      <c r="B7" s="13" t="str">
        <f aca="false">_xlfn.TEXTJOIN(", ",TRUE(),IF(AND('Risk Register'!$E$5=2,'Risk Register'!$F$5=1),'Risk Register'!$A$5,""),IF(AND('Risk Register'!$E$6=2,'Risk Register'!$F$6=1),'Risk Register'!$A$6,""),IF(AND('Risk Register'!$E$7=2,'Risk Register'!$F$7=1),'Risk Register'!$A$7,""),IF(AND('Risk Register'!$E$8=2,'Risk Register'!$F$8=1),'Risk Register'!$A$8,""),IF(AND('Risk Register'!$E$9=2,'Risk Register'!$F$9=1),'Risk Register'!$A$9,""),IF(AND('Risk Register'!$E$10=2,'Risk Register'!$F$10=1),'Risk Register'!$A$10,""),IF(AND('Risk Register'!$E$11=2,'Risk Register'!$F$11=1),'Risk Register'!$A$11,""),IF(AND('Risk Register'!$E$12=2,'Risk Register'!$F$12=1),'Risk Register'!$A$12,""),IF(AND('Risk Register'!$E$13=2,'Risk Register'!$F$13=1),'Risk Register'!$A$13,""),IF(AND('Risk Register'!$E$14=2,'Risk Register'!$F$14=1),'Risk Register'!$A$14,""),IF(AND('Risk Register'!$E$15=2,'Risk Register'!$F$15=1),'Risk Register'!$A$15,""),IF(AND('Risk Register'!$E$16=2,'Risk Register'!$F$16=1),'Risk Register'!$A$16,""),IF(AND('Risk Register'!$E$17=2,'Risk Register'!$F$17=1),'Risk Register'!$A$17,""),IF(AND('Risk Register'!$E$18=2,'Risk Register'!$F$18=1),'Risk Register'!$A$18,""),IF(AND('Risk Register'!$E$19=2,'Risk Register'!$F$19=1),'Risk Register'!$A$19,""),IF(AND('Risk Register'!$E$20=2,'Risk Register'!$F$20=1),'Risk Register'!$A$20,""),IF(AND('Risk Register'!$E$21=2,'Risk Register'!$F$21=1),'Risk Register'!$A$21,""),IF(AND('Risk Register'!$E$22=2,'Risk Register'!$F$22=1),'Risk Register'!$A$22,""),IF(AND('Risk Register'!$E$23=2,'Risk Register'!$F$23=1),'Risk Register'!$A$23,""),IF(AND('Risk Register'!$E$24=2,'Risk Register'!$F$24=1),'Risk Register'!$A$24,""),IF(AND('Risk Register'!$E$25=2,'Risk Register'!$F$25=1),'Risk Register'!$A$25,""),IF(AND('Risk Register'!$E$26=2,'Risk Register'!$F$26=1),'Risk Register'!$A$26,""),IF(AND('Risk Register'!$E$27=2,'Risk Register'!$F$27=1),'Risk Register'!$A$27,""),IF(AND('Risk Register'!$E$28=2,'Risk Register'!$F$28=1),'Risk Register'!$A$28,""),IF(AND('Risk Register'!$E$29=2,'Risk Register'!$F$29=1),'Risk Register'!$A$29,""),IF(AND('Risk Register'!$E$30=2,'Risk Register'!$F$30=1),'Risk Register'!$A$30,""),IF(AND('Risk Register'!$E$31=2,'Risk Register'!$F$31=1),'Risk Register'!$A$31,""),IF(AND('Risk Register'!$E$32=2,'Risk Register'!$F$32=1),'Risk Register'!$A$32,""),IF(AND('Risk Register'!$E$33=2,'Risk Register'!$F$33=1),'Risk Register'!$A$33,""),IF(AND('Risk Register'!$E$34=2,'Risk Register'!$F$34=1),'Risk Register'!$A$34,""))</f>
        <v/>
      </c>
      <c r="C7" s="13" t="str">
        <f aca="false">_xlfn.TEXTJOIN(", ",TRUE(),IF(AND('Risk Register'!$E$5=2,'Risk Register'!$F$5=2),'Risk Register'!$A$5,""),IF(AND('Risk Register'!$E$6=2,'Risk Register'!$F$6=2),'Risk Register'!$A$6,""),IF(AND('Risk Register'!$E$7=2,'Risk Register'!$F$7=2),'Risk Register'!$A$7,""),IF(AND('Risk Register'!$E$8=2,'Risk Register'!$F$8=2),'Risk Register'!$A$8,""),IF(AND('Risk Register'!$E$9=2,'Risk Register'!$F$9=2),'Risk Register'!$A$9,""),IF(AND('Risk Register'!$E$10=2,'Risk Register'!$F$10=2),'Risk Register'!$A$10,""),IF(AND('Risk Register'!$E$11=2,'Risk Register'!$F$11=2),'Risk Register'!$A$11,""),IF(AND('Risk Register'!$E$12=2,'Risk Register'!$F$12=2),'Risk Register'!$A$12,""),IF(AND('Risk Register'!$E$13=2,'Risk Register'!$F$13=2),'Risk Register'!$A$13,""),IF(AND('Risk Register'!$E$14=2,'Risk Register'!$F$14=2),'Risk Register'!$A$14,""),IF(AND('Risk Register'!$E$15=2,'Risk Register'!$F$15=2),'Risk Register'!$A$15,""),IF(AND('Risk Register'!$E$16=2,'Risk Register'!$F$16=2),'Risk Register'!$A$16,""),IF(AND('Risk Register'!$E$17=2,'Risk Register'!$F$17=2),'Risk Register'!$A$17,""),IF(AND('Risk Register'!$E$18=2,'Risk Register'!$F$18=2),'Risk Register'!$A$18,""),IF(AND('Risk Register'!$E$19=2,'Risk Register'!$F$19=2),'Risk Register'!$A$19,""),IF(AND('Risk Register'!$E$20=2,'Risk Register'!$F$20=2),'Risk Register'!$A$20,""),IF(AND('Risk Register'!$E$21=2,'Risk Register'!$F$21=2),'Risk Register'!$A$21,""),IF(AND('Risk Register'!$E$22=2,'Risk Register'!$F$22=2),'Risk Register'!$A$22,""),IF(AND('Risk Register'!$E$23=2,'Risk Register'!$F$23=2),'Risk Register'!$A$23,""),IF(AND('Risk Register'!$E$24=2,'Risk Register'!$F$24=2),'Risk Register'!$A$24,""),IF(AND('Risk Register'!$E$25=2,'Risk Register'!$F$25=2),'Risk Register'!$A$25,""),IF(AND('Risk Register'!$E$26=2,'Risk Register'!$F$26=2),'Risk Register'!$A$26,""),IF(AND('Risk Register'!$E$27=2,'Risk Register'!$F$27=2),'Risk Register'!$A$27,""),IF(AND('Risk Register'!$E$28=2,'Risk Register'!$F$28=2),'Risk Register'!$A$28,""),IF(AND('Risk Register'!$E$29=2,'Risk Register'!$F$29=2),'Risk Register'!$A$29,""),IF(AND('Risk Register'!$E$30=2,'Risk Register'!$F$30=2),'Risk Register'!$A$30,""),IF(AND('Risk Register'!$E$31=2,'Risk Register'!$F$31=2),'Risk Register'!$A$31,""),IF(AND('Risk Register'!$E$32=2,'Risk Register'!$F$32=2),'Risk Register'!$A$32,""),IF(AND('Risk Register'!$E$33=2,'Risk Register'!$F$33=2),'Risk Register'!$A$33,""),IF(AND('Risk Register'!$E$34=2,'Risk Register'!$F$34=2),'Risk Register'!$A$34,""))</f>
        <v/>
      </c>
      <c r="D7" s="10" t="str">
        <f aca="false">_xlfn.TEXTJOIN(", ",TRUE(),IF(AND('Risk Register'!$E$5=2,'Risk Register'!$F$5=3),'Risk Register'!$A$5,""),IF(AND('Risk Register'!$E$6=2,'Risk Register'!$F$6=3),'Risk Register'!$A$6,""),IF(AND('Risk Register'!$E$7=2,'Risk Register'!$F$7=3),'Risk Register'!$A$7,""),IF(AND('Risk Register'!$E$8=2,'Risk Register'!$F$8=3),'Risk Register'!$A$8,""),IF(AND('Risk Register'!$E$9=2,'Risk Register'!$F$9=3),'Risk Register'!$A$9,""),IF(AND('Risk Register'!$E$10=2,'Risk Register'!$F$10=3),'Risk Register'!$A$10,""),IF(AND('Risk Register'!$E$11=2,'Risk Register'!$F$11=3),'Risk Register'!$A$11,""),IF(AND('Risk Register'!$E$12=2,'Risk Register'!$F$12=3),'Risk Register'!$A$12,""),IF(AND('Risk Register'!$E$13=2,'Risk Register'!$F$13=3),'Risk Register'!$A$13,""),IF(AND('Risk Register'!$E$14=2,'Risk Register'!$F$14=3),'Risk Register'!$A$14,""),IF(AND('Risk Register'!$E$15=2,'Risk Register'!$F$15=3),'Risk Register'!$A$15,""),IF(AND('Risk Register'!$E$16=2,'Risk Register'!$F$16=3),'Risk Register'!$A$16,""),IF(AND('Risk Register'!$E$17=2,'Risk Register'!$F$17=3),'Risk Register'!$A$17,""),IF(AND('Risk Register'!$E$18=2,'Risk Register'!$F$18=3),'Risk Register'!$A$18,""),IF(AND('Risk Register'!$E$19=2,'Risk Register'!$F$19=3),'Risk Register'!$A$19,""),IF(AND('Risk Register'!$E$20=2,'Risk Register'!$F$20=3),'Risk Register'!$A$20,""),IF(AND('Risk Register'!$E$21=2,'Risk Register'!$F$21=3),'Risk Register'!$A$21,""),IF(AND('Risk Register'!$E$22=2,'Risk Register'!$F$22=3),'Risk Register'!$A$22,""),IF(AND('Risk Register'!$E$23=2,'Risk Register'!$F$23=3),'Risk Register'!$A$23,""),IF(AND('Risk Register'!$E$24=2,'Risk Register'!$F$24=3),'Risk Register'!$A$24,""),IF(AND('Risk Register'!$E$25=2,'Risk Register'!$F$25=3),'Risk Register'!$A$25,""),IF(AND('Risk Register'!$E$26=2,'Risk Register'!$F$26=3),'Risk Register'!$A$26,""),IF(AND('Risk Register'!$E$27=2,'Risk Register'!$F$27=3),'Risk Register'!$A$27,""),IF(AND('Risk Register'!$E$28=2,'Risk Register'!$F$28=3),'Risk Register'!$A$28,""),IF(AND('Risk Register'!$E$29=2,'Risk Register'!$F$29=3),'Risk Register'!$A$29,""),IF(AND('Risk Register'!$E$30=2,'Risk Register'!$F$30=3),'Risk Register'!$A$30,""),IF(AND('Risk Register'!$E$31=2,'Risk Register'!$F$31=3),'Risk Register'!$A$31,""),IF(AND('Risk Register'!$E$32=2,'Risk Register'!$F$32=3),'Risk Register'!$A$32,""),IF(AND('Risk Register'!$E$33=2,'Risk Register'!$F$33=3),'Risk Register'!$A$33,""),IF(AND('Risk Register'!$E$34=2,'Risk Register'!$F$34=3),'Risk Register'!$A$34,""))</f>
        <v>R15</v>
      </c>
      <c r="E7" s="10" t="str">
        <f aca="false">_xlfn.TEXTJOIN(", ",TRUE(),IF(AND('Risk Register'!$E$5=2,'Risk Register'!$F$5=4),'Risk Register'!$A$5,""),IF(AND('Risk Register'!$E$6=2,'Risk Register'!$F$6=4),'Risk Register'!$A$6,""),IF(AND('Risk Register'!$E$7=2,'Risk Register'!$F$7=4),'Risk Register'!$A$7,""),IF(AND('Risk Register'!$E$8=2,'Risk Register'!$F$8=4),'Risk Register'!$A$8,""),IF(AND('Risk Register'!$E$9=2,'Risk Register'!$F$9=4),'Risk Register'!$A$9,""),IF(AND('Risk Register'!$E$10=2,'Risk Register'!$F$10=4),'Risk Register'!$A$10,""),IF(AND('Risk Register'!$E$11=2,'Risk Register'!$F$11=4),'Risk Register'!$A$11,""),IF(AND('Risk Register'!$E$12=2,'Risk Register'!$F$12=4),'Risk Register'!$A$12,""),IF(AND('Risk Register'!$E$13=2,'Risk Register'!$F$13=4),'Risk Register'!$A$13,""),IF(AND('Risk Register'!$E$14=2,'Risk Register'!$F$14=4),'Risk Register'!$A$14,""),IF(AND('Risk Register'!$E$15=2,'Risk Register'!$F$15=4),'Risk Register'!$A$15,""),IF(AND('Risk Register'!$E$16=2,'Risk Register'!$F$16=4),'Risk Register'!$A$16,""),IF(AND('Risk Register'!$E$17=2,'Risk Register'!$F$17=4),'Risk Register'!$A$17,""),IF(AND('Risk Register'!$E$18=2,'Risk Register'!$F$18=4),'Risk Register'!$A$18,""),IF(AND('Risk Register'!$E$19=2,'Risk Register'!$F$19=4),'Risk Register'!$A$19,""),IF(AND('Risk Register'!$E$20=2,'Risk Register'!$F$20=4),'Risk Register'!$A$20,""),IF(AND('Risk Register'!$E$21=2,'Risk Register'!$F$21=4),'Risk Register'!$A$21,""),IF(AND('Risk Register'!$E$22=2,'Risk Register'!$F$22=4),'Risk Register'!$A$22,""),IF(AND('Risk Register'!$E$23=2,'Risk Register'!$F$23=4),'Risk Register'!$A$23,""),IF(AND('Risk Register'!$E$24=2,'Risk Register'!$F$24=4),'Risk Register'!$A$24,""),IF(AND('Risk Register'!$E$25=2,'Risk Register'!$F$25=4),'Risk Register'!$A$25,""),IF(AND('Risk Register'!$E$26=2,'Risk Register'!$F$26=4),'Risk Register'!$A$26,""),IF(AND('Risk Register'!$E$27=2,'Risk Register'!$F$27=4),'Risk Register'!$A$27,""),IF(AND('Risk Register'!$E$28=2,'Risk Register'!$F$28=4),'Risk Register'!$A$28,""),IF(AND('Risk Register'!$E$29=2,'Risk Register'!$F$29=4),'Risk Register'!$A$29,""),IF(AND('Risk Register'!$E$30=2,'Risk Register'!$F$30=4),'Risk Register'!$A$30,""),IF(AND('Risk Register'!$E$31=2,'Risk Register'!$F$31=4),'Risk Register'!$A$31,""),IF(AND('Risk Register'!$E$32=2,'Risk Register'!$F$32=4),'Risk Register'!$A$32,""),IF(AND('Risk Register'!$E$33=2,'Risk Register'!$F$33=4),'Risk Register'!$A$33,""),IF(AND('Risk Register'!$E$34=2,'Risk Register'!$F$34=4),'Risk Register'!$A$34,""))</f>
        <v>R11, R14</v>
      </c>
      <c r="F7" s="11" t="str">
        <f aca="false">_xlfn.TEXTJOIN(", ",TRUE(),IF(AND('Risk Register'!$E$5=2,'Risk Register'!$F$5=5),'Risk Register'!$A$5,""),IF(AND('Risk Register'!$E$6=2,'Risk Register'!$F$6=5),'Risk Register'!$A$6,""),IF(AND('Risk Register'!$E$7=2,'Risk Register'!$F$7=5),'Risk Register'!$A$7,""),IF(AND('Risk Register'!$E$8=2,'Risk Register'!$F$8=5),'Risk Register'!$A$8,""),IF(AND('Risk Register'!$E$9=2,'Risk Register'!$F$9=5),'Risk Register'!$A$9,""),IF(AND('Risk Register'!$E$10=2,'Risk Register'!$F$10=5),'Risk Register'!$A$10,""),IF(AND('Risk Register'!$E$11=2,'Risk Register'!$F$11=5),'Risk Register'!$A$11,""),IF(AND('Risk Register'!$E$12=2,'Risk Register'!$F$12=5),'Risk Register'!$A$12,""),IF(AND('Risk Register'!$E$13=2,'Risk Register'!$F$13=5),'Risk Register'!$A$13,""),IF(AND('Risk Register'!$E$14=2,'Risk Register'!$F$14=5),'Risk Register'!$A$14,""),IF(AND('Risk Register'!$E$15=2,'Risk Register'!$F$15=5),'Risk Register'!$A$15,""),IF(AND('Risk Register'!$E$16=2,'Risk Register'!$F$16=5),'Risk Register'!$A$16,""),IF(AND('Risk Register'!$E$17=2,'Risk Register'!$F$17=5),'Risk Register'!$A$17,""),IF(AND('Risk Register'!$E$18=2,'Risk Register'!$F$18=5),'Risk Register'!$A$18,""),IF(AND('Risk Register'!$E$19=2,'Risk Register'!$F$19=5),'Risk Register'!$A$19,""),IF(AND('Risk Register'!$E$20=2,'Risk Register'!$F$20=5),'Risk Register'!$A$20,""),IF(AND('Risk Register'!$E$21=2,'Risk Register'!$F$21=5),'Risk Register'!$A$21,""),IF(AND('Risk Register'!$E$22=2,'Risk Register'!$F$22=5),'Risk Register'!$A$22,""),IF(AND('Risk Register'!$E$23=2,'Risk Register'!$F$23=5),'Risk Register'!$A$23,""),IF(AND('Risk Register'!$E$24=2,'Risk Register'!$F$24=5),'Risk Register'!$A$24,""),IF(AND('Risk Register'!$E$25=2,'Risk Register'!$F$25=5),'Risk Register'!$A$25,""),IF(AND('Risk Register'!$E$26=2,'Risk Register'!$F$26=5),'Risk Register'!$A$26,""),IF(AND('Risk Register'!$E$27=2,'Risk Register'!$F$27=5),'Risk Register'!$A$27,""),IF(AND('Risk Register'!$E$28=2,'Risk Register'!$F$28=5),'Risk Register'!$A$28,""),IF(AND('Risk Register'!$E$29=2,'Risk Register'!$F$29=5),'Risk Register'!$A$29,""),IF(AND('Risk Register'!$E$30=2,'Risk Register'!$F$30=5),'Risk Register'!$A$30,""),IF(AND('Risk Register'!$E$31=2,'Risk Register'!$F$31=5),'Risk Register'!$A$31,""),IF(AND('Risk Register'!$E$32=2,'Risk Register'!$F$32=5),'Risk Register'!$A$32,""),IF(AND('Risk Register'!$E$33=2,'Risk Register'!$F$33=5),'Risk Register'!$A$33,""),IF(AND('Risk Register'!$E$34=2,'Risk Register'!$F$34=5),'Risk Register'!$A$34,""))</f>
        <v>R07</v>
      </c>
    </row>
    <row r="8" customFormat="false" ht="61.5" hidden="false" customHeight="true" outlineLevel="0" collapsed="false">
      <c r="A8" s="9" t="s">
        <v>109</v>
      </c>
      <c r="B8" s="13" t="str">
        <f aca="false">_xlfn.TEXTJOIN(", ",TRUE(),IF(AND('Risk Register'!$E$5=1,'Risk Register'!$F$5=1),'Risk Register'!$A$5,""),IF(AND('Risk Register'!$E$6=1,'Risk Register'!$F$6=1),'Risk Register'!$A$6,""),IF(AND('Risk Register'!$E$7=1,'Risk Register'!$F$7=1),'Risk Register'!$A$7,""),IF(AND('Risk Register'!$E$8=1,'Risk Register'!$F$8=1),'Risk Register'!$A$8,""),IF(AND('Risk Register'!$E$9=1,'Risk Register'!$F$9=1),'Risk Register'!$A$9,""),IF(AND('Risk Register'!$E$10=1,'Risk Register'!$F$10=1),'Risk Register'!$A$10,""),IF(AND('Risk Register'!$E$11=1,'Risk Register'!$F$11=1),'Risk Register'!$A$11,""),IF(AND('Risk Register'!$E$12=1,'Risk Register'!$F$12=1),'Risk Register'!$A$12,""),IF(AND('Risk Register'!$E$13=1,'Risk Register'!$F$13=1),'Risk Register'!$A$13,""),IF(AND('Risk Register'!$E$14=1,'Risk Register'!$F$14=1),'Risk Register'!$A$14,""),IF(AND('Risk Register'!$E$15=1,'Risk Register'!$F$15=1),'Risk Register'!$A$15,""),IF(AND('Risk Register'!$E$16=1,'Risk Register'!$F$16=1),'Risk Register'!$A$16,""),IF(AND('Risk Register'!$E$17=1,'Risk Register'!$F$17=1),'Risk Register'!$A$17,""),IF(AND('Risk Register'!$E$18=1,'Risk Register'!$F$18=1),'Risk Register'!$A$18,""),IF(AND('Risk Register'!$E$19=1,'Risk Register'!$F$19=1),'Risk Register'!$A$19,""),IF(AND('Risk Register'!$E$20=1,'Risk Register'!$F$20=1),'Risk Register'!$A$20,""),IF(AND('Risk Register'!$E$21=1,'Risk Register'!$F$21=1),'Risk Register'!$A$21,""),IF(AND('Risk Register'!$E$22=1,'Risk Register'!$F$22=1),'Risk Register'!$A$22,""),IF(AND('Risk Register'!$E$23=1,'Risk Register'!$F$23=1),'Risk Register'!$A$23,""),IF(AND('Risk Register'!$E$24=1,'Risk Register'!$F$24=1),'Risk Register'!$A$24,""),IF(AND('Risk Register'!$E$25=1,'Risk Register'!$F$25=1),'Risk Register'!$A$25,""),IF(AND('Risk Register'!$E$26=1,'Risk Register'!$F$26=1),'Risk Register'!$A$26,""),IF(AND('Risk Register'!$E$27=1,'Risk Register'!$F$27=1),'Risk Register'!$A$27,""),IF(AND('Risk Register'!$E$28=1,'Risk Register'!$F$28=1),'Risk Register'!$A$28,""),IF(AND('Risk Register'!$E$29=1,'Risk Register'!$F$29=1),'Risk Register'!$A$29,""),IF(AND('Risk Register'!$E$30=1,'Risk Register'!$F$30=1),'Risk Register'!$A$30,""),IF(AND('Risk Register'!$E$31=1,'Risk Register'!$F$31=1),'Risk Register'!$A$31,""),IF(AND('Risk Register'!$E$32=1,'Risk Register'!$F$32=1),'Risk Register'!$A$32,""),IF(AND('Risk Register'!$E$33=1,'Risk Register'!$F$33=1),'Risk Register'!$A$33,""),IF(AND('Risk Register'!$E$34=1,'Risk Register'!$F$34=1),'Risk Register'!$A$34,""))</f>
        <v/>
      </c>
      <c r="C8" s="13" t="str">
        <f aca="false">_xlfn.TEXTJOIN(", ",TRUE(),IF(AND('Risk Register'!$E$5=1,'Risk Register'!$F$5=2),'Risk Register'!$A$5,""),IF(AND('Risk Register'!$E$6=1,'Risk Register'!$F$6=2),'Risk Register'!$A$6,""),IF(AND('Risk Register'!$E$7=1,'Risk Register'!$F$7=2),'Risk Register'!$A$7,""),IF(AND('Risk Register'!$E$8=1,'Risk Register'!$F$8=2),'Risk Register'!$A$8,""),IF(AND('Risk Register'!$E$9=1,'Risk Register'!$F$9=2),'Risk Register'!$A$9,""),IF(AND('Risk Register'!$E$10=1,'Risk Register'!$F$10=2),'Risk Register'!$A$10,""),IF(AND('Risk Register'!$E$11=1,'Risk Register'!$F$11=2),'Risk Register'!$A$11,""),IF(AND('Risk Register'!$E$12=1,'Risk Register'!$F$12=2),'Risk Register'!$A$12,""),IF(AND('Risk Register'!$E$13=1,'Risk Register'!$F$13=2),'Risk Register'!$A$13,""),IF(AND('Risk Register'!$E$14=1,'Risk Register'!$F$14=2),'Risk Register'!$A$14,""),IF(AND('Risk Register'!$E$15=1,'Risk Register'!$F$15=2),'Risk Register'!$A$15,""),IF(AND('Risk Register'!$E$16=1,'Risk Register'!$F$16=2),'Risk Register'!$A$16,""),IF(AND('Risk Register'!$E$17=1,'Risk Register'!$F$17=2),'Risk Register'!$A$17,""),IF(AND('Risk Register'!$E$18=1,'Risk Register'!$F$18=2),'Risk Register'!$A$18,""),IF(AND('Risk Register'!$E$19=1,'Risk Register'!$F$19=2),'Risk Register'!$A$19,""),IF(AND('Risk Register'!$E$20=1,'Risk Register'!$F$20=2),'Risk Register'!$A$20,""),IF(AND('Risk Register'!$E$21=1,'Risk Register'!$F$21=2),'Risk Register'!$A$21,""),IF(AND('Risk Register'!$E$22=1,'Risk Register'!$F$22=2),'Risk Register'!$A$22,""),IF(AND('Risk Register'!$E$23=1,'Risk Register'!$F$23=2),'Risk Register'!$A$23,""),IF(AND('Risk Register'!$E$24=1,'Risk Register'!$F$24=2),'Risk Register'!$A$24,""),IF(AND('Risk Register'!$E$25=1,'Risk Register'!$F$25=2),'Risk Register'!$A$25,""),IF(AND('Risk Register'!$E$26=1,'Risk Register'!$F$26=2),'Risk Register'!$A$26,""),IF(AND('Risk Register'!$E$27=1,'Risk Register'!$F$27=2),'Risk Register'!$A$27,""),IF(AND('Risk Register'!$E$28=1,'Risk Register'!$F$28=2),'Risk Register'!$A$28,""),IF(AND('Risk Register'!$E$29=1,'Risk Register'!$F$29=2),'Risk Register'!$A$29,""),IF(AND('Risk Register'!$E$30=1,'Risk Register'!$F$30=2),'Risk Register'!$A$30,""),IF(AND('Risk Register'!$E$31=1,'Risk Register'!$F$31=2),'Risk Register'!$A$31,""),IF(AND('Risk Register'!$E$32=1,'Risk Register'!$F$32=2),'Risk Register'!$A$32,""),IF(AND('Risk Register'!$E$33=1,'Risk Register'!$F$33=2),'Risk Register'!$A$33,""),IF(AND('Risk Register'!$E$34=1,'Risk Register'!$F$34=2),'Risk Register'!$A$34,""))</f>
        <v/>
      </c>
      <c r="D8" s="13" t="str">
        <f aca="false">_xlfn.TEXTJOIN(", ",TRUE(),IF(AND('Risk Register'!$E$5=1,'Risk Register'!$F$5=3),'Risk Register'!$A$5,""),IF(AND('Risk Register'!$E$6=1,'Risk Register'!$F$6=3),'Risk Register'!$A$6,""),IF(AND('Risk Register'!$E$7=1,'Risk Register'!$F$7=3),'Risk Register'!$A$7,""),IF(AND('Risk Register'!$E$8=1,'Risk Register'!$F$8=3),'Risk Register'!$A$8,""),IF(AND('Risk Register'!$E$9=1,'Risk Register'!$F$9=3),'Risk Register'!$A$9,""),IF(AND('Risk Register'!$E$10=1,'Risk Register'!$F$10=3),'Risk Register'!$A$10,""),IF(AND('Risk Register'!$E$11=1,'Risk Register'!$F$11=3),'Risk Register'!$A$11,""),IF(AND('Risk Register'!$E$12=1,'Risk Register'!$F$12=3),'Risk Register'!$A$12,""),IF(AND('Risk Register'!$E$13=1,'Risk Register'!$F$13=3),'Risk Register'!$A$13,""),IF(AND('Risk Register'!$E$14=1,'Risk Register'!$F$14=3),'Risk Register'!$A$14,""),IF(AND('Risk Register'!$E$15=1,'Risk Register'!$F$15=3),'Risk Register'!$A$15,""),IF(AND('Risk Register'!$E$16=1,'Risk Register'!$F$16=3),'Risk Register'!$A$16,""),IF(AND('Risk Register'!$E$17=1,'Risk Register'!$F$17=3),'Risk Register'!$A$17,""),IF(AND('Risk Register'!$E$18=1,'Risk Register'!$F$18=3),'Risk Register'!$A$18,""),IF(AND('Risk Register'!$E$19=1,'Risk Register'!$F$19=3),'Risk Register'!$A$19,""),IF(AND('Risk Register'!$E$20=1,'Risk Register'!$F$20=3),'Risk Register'!$A$20,""),IF(AND('Risk Register'!$E$21=1,'Risk Register'!$F$21=3),'Risk Register'!$A$21,""),IF(AND('Risk Register'!$E$22=1,'Risk Register'!$F$22=3),'Risk Register'!$A$22,""),IF(AND('Risk Register'!$E$23=1,'Risk Register'!$F$23=3),'Risk Register'!$A$23,""),IF(AND('Risk Register'!$E$24=1,'Risk Register'!$F$24=3),'Risk Register'!$A$24,""),IF(AND('Risk Register'!$E$25=1,'Risk Register'!$F$25=3),'Risk Register'!$A$25,""),IF(AND('Risk Register'!$E$26=1,'Risk Register'!$F$26=3),'Risk Register'!$A$26,""),IF(AND('Risk Register'!$E$27=1,'Risk Register'!$F$27=3),'Risk Register'!$A$27,""),IF(AND('Risk Register'!$E$28=1,'Risk Register'!$F$28=3),'Risk Register'!$A$28,""),IF(AND('Risk Register'!$E$29=1,'Risk Register'!$F$29=3),'Risk Register'!$A$29,""),IF(AND('Risk Register'!$E$30=1,'Risk Register'!$F$30=3),'Risk Register'!$A$30,""),IF(AND('Risk Register'!$E$31=1,'Risk Register'!$F$31=3),'Risk Register'!$A$31,""),IF(AND('Risk Register'!$E$32=1,'Risk Register'!$F$32=3),'Risk Register'!$A$32,""),IF(AND('Risk Register'!$E$33=1,'Risk Register'!$F$33=3),'Risk Register'!$A$33,""),IF(AND('Risk Register'!$E$34=1,'Risk Register'!$F$34=3),'Risk Register'!$A$34,""))</f>
        <v/>
      </c>
      <c r="E8" s="13" t="str">
        <f aca="false">_xlfn.TEXTJOIN(", ",TRUE(),IF(AND('Risk Register'!$E$5=1,'Risk Register'!$F$5=4),'Risk Register'!$A$5,""),IF(AND('Risk Register'!$E$6=1,'Risk Register'!$F$6=4),'Risk Register'!$A$6,""),IF(AND('Risk Register'!$E$7=1,'Risk Register'!$F$7=4),'Risk Register'!$A$7,""),IF(AND('Risk Register'!$E$8=1,'Risk Register'!$F$8=4),'Risk Register'!$A$8,""),IF(AND('Risk Register'!$E$9=1,'Risk Register'!$F$9=4),'Risk Register'!$A$9,""),IF(AND('Risk Register'!$E$10=1,'Risk Register'!$F$10=4),'Risk Register'!$A$10,""),IF(AND('Risk Register'!$E$11=1,'Risk Register'!$F$11=4),'Risk Register'!$A$11,""),IF(AND('Risk Register'!$E$12=1,'Risk Register'!$F$12=4),'Risk Register'!$A$12,""),IF(AND('Risk Register'!$E$13=1,'Risk Register'!$F$13=4),'Risk Register'!$A$13,""),IF(AND('Risk Register'!$E$14=1,'Risk Register'!$F$14=4),'Risk Register'!$A$14,""),IF(AND('Risk Register'!$E$15=1,'Risk Register'!$F$15=4),'Risk Register'!$A$15,""),IF(AND('Risk Register'!$E$16=1,'Risk Register'!$F$16=4),'Risk Register'!$A$16,""),IF(AND('Risk Register'!$E$17=1,'Risk Register'!$F$17=4),'Risk Register'!$A$17,""),IF(AND('Risk Register'!$E$18=1,'Risk Register'!$F$18=4),'Risk Register'!$A$18,""),IF(AND('Risk Register'!$E$19=1,'Risk Register'!$F$19=4),'Risk Register'!$A$19,""),IF(AND('Risk Register'!$E$20=1,'Risk Register'!$F$20=4),'Risk Register'!$A$20,""),IF(AND('Risk Register'!$E$21=1,'Risk Register'!$F$21=4),'Risk Register'!$A$21,""),IF(AND('Risk Register'!$E$22=1,'Risk Register'!$F$22=4),'Risk Register'!$A$22,""),IF(AND('Risk Register'!$E$23=1,'Risk Register'!$F$23=4),'Risk Register'!$A$23,""),IF(AND('Risk Register'!$E$24=1,'Risk Register'!$F$24=4),'Risk Register'!$A$24,""),IF(AND('Risk Register'!$E$25=1,'Risk Register'!$F$25=4),'Risk Register'!$A$25,""),IF(AND('Risk Register'!$E$26=1,'Risk Register'!$F$26=4),'Risk Register'!$A$26,""),IF(AND('Risk Register'!$E$27=1,'Risk Register'!$F$27=4),'Risk Register'!$A$27,""),IF(AND('Risk Register'!$E$28=1,'Risk Register'!$F$28=4),'Risk Register'!$A$28,""),IF(AND('Risk Register'!$E$29=1,'Risk Register'!$F$29=4),'Risk Register'!$A$29,""),IF(AND('Risk Register'!$E$30=1,'Risk Register'!$F$30=4),'Risk Register'!$A$30,""),IF(AND('Risk Register'!$E$31=1,'Risk Register'!$F$31=4),'Risk Register'!$A$31,""),IF(AND('Risk Register'!$E$32=1,'Risk Register'!$F$32=4),'Risk Register'!$A$32,""),IF(AND('Risk Register'!$E$33=1,'Risk Register'!$F$33=4),'Risk Register'!$A$33,""),IF(AND('Risk Register'!$E$34=1,'Risk Register'!$F$34=4),'Risk Register'!$A$34,""))</f>
        <v/>
      </c>
      <c r="F8" s="10" t="str">
        <f aca="false">_xlfn.TEXTJOIN(", ",TRUE(),IF(AND('Risk Register'!$E$5=1,'Risk Register'!$F$5=5),'Risk Register'!$A$5,""),IF(AND('Risk Register'!$E$6=1,'Risk Register'!$F$6=5),'Risk Register'!$A$6,""),IF(AND('Risk Register'!$E$7=1,'Risk Register'!$F$7=5),'Risk Register'!$A$7,""),IF(AND('Risk Register'!$E$8=1,'Risk Register'!$F$8=5),'Risk Register'!$A$8,""),IF(AND('Risk Register'!$E$9=1,'Risk Register'!$F$9=5),'Risk Register'!$A$9,""),IF(AND('Risk Register'!$E$10=1,'Risk Register'!$F$10=5),'Risk Register'!$A$10,""),IF(AND('Risk Register'!$E$11=1,'Risk Register'!$F$11=5),'Risk Register'!$A$11,""),IF(AND('Risk Register'!$E$12=1,'Risk Register'!$F$12=5),'Risk Register'!$A$12,""),IF(AND('Risk Register'!$E$13=1,'Risk Register'!$F$13=5),'Risk Register'!$A$13,""),IF(AND('Risk Register'!$E$14=1,'Risk Register'!$F$14=5),'Risk Register'!$A$14,""),IF(AND('Risk Register'!$E$15=1,'Risk Register'!$F$15=5),'Risk Register'!$A$15,""),IF(AND('Risk Register'!$E$16=1,'Risk Register'!$F$16=5),'Risk Register'!$A$16,""),IF(AND('Risk Register'!$E$17=1,'Risk Register'!$F$17=5),'Risk Register'!$A$17,""),IF(AND('Risk Register'!$E$18=1,'Risk Register'!$F$18=5),'Risk Register'!$A$18,""),IF(AND('Risk Register'!$E$19=1,'Risk Register'!$F$19=5),'Risk Register'!$A$19,""),IF(AND('Risk Register'!$E$20=1,'Risk Register'!$F$20=5),'Risk Register'!$A$20,""),IF(AND('Risk Register'!$E$21=1,'Risk Register'!$F$21=5),'Risk Register'!$A$21,""),IF(AND('Risk Register'!$E$22=1,'Risk Register'!$F$22=5),'Risk Register'!$A$22,""),IF(AND('Risk Register'!$E$23=1,'Risk Register'!$F$23=5),'Risk Register'!$A$23,""),IF(AND('Risk Register'!$E$24=1,'Risk Register'!$F$24=5),'Risk Register'!$A$24,""),IF(AND('Risk Register'!$E$25=1,'Risk Register'!$F$25=5),'Risk Register'!$A$25,""),IF(AND('Risk Register'!$E$26=1,'Risk Register'!$F$26=5),'Risk Register'!$A$26,""),IF(AND('Risk Register'!$E$27=1,'Risk Register'!$F$27=5),'Risk Register'!$A$27,""),IF(AND('Risk Register'!$E$28=1,'Risk Register'!$F$28=5),'Risk Register'!$A$28,""),IF(AND('Risk Register'!$E$29=1,'Risk Register'!$F$29=5),'Risk Register'!$A$29,""),IF(AND('Risk Register'!$E$30=1,'Risk Register'!$F$30=5),'Risk Register'!$A$30,""),IF(AND('Risk Register'!$E$31=1,'Risk Register'!$F$31=5),'Risk Register'!$A$31,""),IF(AND('Risk Register'!$E$32=1,'Risk Register'!$F$32=5),'Risk Register'!$A$32,""),IF(AND('Risk Register'!$E$33=1,'Risk Register'!$F$33=5),'Risk Register'!$A$33,""),IF(AND('Risk Register'!$E$34=1,'Risk Register'!$F$34=5),'Risk Register'!$A$34,""))</f>
        <v/>
      </c>
    </row>
    <row r="10" customFormat="false" ht="16.15" hidden="false" customHeight="false" outlineLevel="0" collapsed="false">
      <c r="A10" s="8" t="s">
        <v>110</v>
      </c>
    </row>
    <row r="12" customFormat="false" ht="30" hidden="false" customHeight="true" outlineLevel="0" collapsed="false">
      <c r="A12" s="3" t="s">
        <v>100</v>
      </c>
      <c r="B12" s="9" t="s">
        <v>101</v>
      </c>
      <c r="C12" s="9" t="s">
        <v>102</v>
      </c>
      <c r="D12" s="9" t="s">
        <v>103</v>
      </c>
      <c r="E12" s="9" t="s">
        <v>104</v>
      </c>
      <c r="F12" s="9" t="s">
        <v>105</v>
      </c>
    </row>
    <row r="13" customFormat="false" ht="61.5" hidden="false" customHeight="true" outlineLevel="0" collapsed="false">
      <c r="A13" s="9" t="s">
        <v>106</v>
      </c>
      <c r="B13" s="10" t="str">
        <f aca="false">_xlfn.TEXTJOIN(", ",TRUE(),IF(AND('Risk Register'!$L$5=5,'Risk Register'!$M$5=1),'Risk Register'!$A$5,""),IF(AND('Risk Register'!$L$6=5,'Risk Register'!$M$6=1),'Risk Register'!$A$6,""),IF(AND('Risk Register'!$L$7=5,'Risk Register'!$M$7=1),'Risk Register'!$A$7,""),IF(AND('Risk Register'!$L$8=5,'Risk Register'!$M$8=1),'Risk Register'!$A$8,""),IF(AND('Risk Register'!$L$9=5,'Risk Register'!$M$9=1),'Risk Register'!$A$9,""),IF(AND('Risk Register'!$L$10=5,'Risk Register'!$M$10=1),'Risk Register'!$A$10,""),IF(AND('Risk Register'!$L$11=5,'Risk Register'!$M$11=1),'Risk Register'!$A$11,""),IF(AND('Risk Register'!$L$12=5,'Risk Register'!$M$12=1),'Risk Register'!$A$12,""),IF(AND('Risk Register'!$L$13=5,'Risk Register'!$M$13=1),'Risk Register'!$A$13,""),IF(AND('Risk Register'!$L$14=5,'Risk Register'!$M$14=1),'Risk Register'!$A$14,""),IF(AND('Risk Register'!$L$15=5,'Risk Register'!$M$15=1),'Risk Register'!$A$15,""),IF(AND('Risk Register'!$L$16=5,'Risk Register'!$M$16=1),'Risk Register'!$A$16,""),IF(AND('Risk Register'!$L$17=5,'Risk Register'!$M$17=1),'Risk Register'!$A$17,""),IF(AND('Risk Register'!$L$18=5,'Risk Register'!$M$18=1),'Risk Register'!$A$18,""),IF(AND('Risk Register'!$L$19=5,'Risk Register'!$M$19=1),'Risk Register'!$A$19,""),IF(AND('Risk Register'!$L$20=5,'Risk Register'!$M$20=1),'Risk Register'!$A$20,""),IF(AND('Risk Register'!$L$21=5,'Risk Register'!$M$21=1),'Risk Register'!$A$21,""),IF(AND('Risk Register'!$L$22=5,'Risk Register'!$M$22=1),'Risk Register'!$A$22,""),IF(AND('Risk Register'!$L$23=5,'Risk Register'!$M$23=1),'Risk Register'!$A$23,""),IF(AND('Risk Register'!$L$24=5,'Risk Register'!$M$24=1),'Risk Register'!$A$24,""),IF(AND('Risk Register'!$L$25=5,'Risk Register'!$M$25=1),'Risk Register'!$A$25,""),IF(AND('Risk Register'!$L$26=5,'Risk Register'!$M$26=1),'Risk Register'!$A$26,""),IF(AND('Risk Register'!$L$27=5,'Risk Register'!$M$27=1),'Risk Register'!$A$27,""),IF(AND('Risk Register'!$L$28=5,'Risk Register'!$M$28=1),'Risk Register'!$A$28,""),IF(AND('Risk Register'!$L$29=5,'Risk Register'!$M$29=1),'Risk Register'!$A$29,""),IF(AND('Risk Register'!$L$30=5,'Risk Register'!$M$30=1),'Risk Register'!$A$30,""),IF(AND('Risk Register'!$L$31=5,'Risk Register'!$M$31=1),'Risk Register'!$A$31,""),IF(AND('Risk Register'!$L$32=5,'Risk Register'!$M$32=1),'Risk Register'!$A$32,""),IF(AND('Risk Register'!$L$33=5,'Risk Register'!$M$33=1),'Risk Register'!$A$33,""),IF(AND('Risk Register'!$L$34=5,'Risk Register'!$M$34=1),'Risk Register'!$A$34,""))</f>
        <v/>
      </c>
      <c r="C13" s="11" t="str">
        <f aca="false">_xlfn.TEXTJOIN(", ",TRUE(),IF(AND('Risk Register'!$L$5=5,'Risk Register'!$M$5=2),'Risk Register'!$A$5,""),IF(AND('Risk Register'!$L$6=5,'Risk Register'!$M$6=2),'Risk Register'!$A$6,""),IF(AND('Risk Register'!$L$7=5,'Risk Register'!$M$7=2),'Risk Register'!$A$7,""),IF(AND('Risk Register'!$L$8=5,'Risk Register'!$M$8=2),'Risk Register'!$A$8,""),IF(AND('Risk Register'!$L$9=5,'Risk Register'!$M$9=2),'Risk Register'!$A$9,""),IF(AND('Risk Register'!$L$10=5,'Risk Register'!$M$10=2),'Risk Register'!$A$10,""),IF(AND('Risk Register'!$L$11=5,'Risk Register'!$M$11=2),'Risk Register'!$A$11,""),IF(AND('Risk Register'!$L$12=5,'Risk Register'!$M$12=2),'Risk Register'!$A$12,""),IF(AND('Risk Register'!$L$13=5,'Risk Register'!$M$13=2),'Risk Register'!$A$13,""),IF(AND('Risk Register'!$L$14=5,'Risk Register'!$M$14=2),'Risk Register'!$A$14,""),IF(AND('Risk Register'!$L$15=5,'Risk Register'!$M$15=2),'Risk Register'!$A$15,""),IF(AND('Risk Register'!$L$16=5,'Risk Register'!$M$16=2),'Risk Register'!$A$16,""),IF(AND('Risk Register'!$L$17=5,'Risk Register'!$M$17=2),'Risk Register'!$A$17,""),IF(AND('Risk Register'!$L$18=5,'Risk Register'!$M$18=2),'Risk Register'!$A$18,""),IF(AND('Risk Register'!$L$19=5,'Risk Register'!$M$19=2),'Risk Register'!$A$19,""),IF(AND('Risk Register'!$L$20=5,'Risk Register'!$M$20=2),'Risk Register'!$A$20,""),IF(AND('Risk Register'!$L$21=5,'Risk Register'!$M$21=2),'Risk Register'!$A$21,""),IF(AND('Risk Register'!$L$22=5,'Risk Register'!$M$22=2),'Risk Register'!$A$22,""),IF(AND('Risk Register'!$L$23=5,'Risk Register'!$M$23=2),'Risk Register'!$A$23,""),IF(AND('Risk Register'!$L$24=5,'Risk Register'!$M$24=2),'Risk Register'!$A$24,""),IF(AND('Risk Register'!$L$25=5,'Risk Register'!$M$25=2),'Risk Register'!$A$25,""),IF(AND('Risk Register'!$L$26=5,'Risk Register'!$M$26=2),'Risk Register'!$A$26,""),IF(AND('Risk Register'!$L$27=5,'Risk Register'!$M$27=2),'Risk Register'!$A$27,""),IF(AND('Risk Register'!$L$28=5,'Risk Register'!$M$28=2),'Risk Register'!$A$28,""),IF(AND('Risk Register'!$L$29=5,'Risk Register'!$M$29=2),'Risk Register'!$A$29,""),IF(AND('Risk Register'!$L$30=5,'Risk Register'!$M$30=2),'Risk Register'!$A$30,""),IF(AND('Risk Register'!$L$31=5,'Risk Register'!$M$31=2),'Risk Register'!$A$31,""),IF(AND('Risk Register'!$L$32=5,'Risk Register'!$M$32=2),'Risk Register'!$A$32,""),IF(AND('Risk Register'!$L$33=5,'Risk Register'!$M$33=2),'Risk Register'!$A$33,""),IF(AND('Risk Register'!$L$34=5,'Risk Register'!$M$34=2),'Risk Register'!$A$34,""))</f>
        <v/>
      </c>
      <c r="D13" s="11" t="str">
        <f aca="false">_xlfn.TEXTJOIN(", ",TRUE(),IF(AND('Risk Register'!$L$5=5,'Risk Register'!$M$5=3),'Risk Register'!$A$5,""),IF(AND('Risk Register'!$L$6=5,'Risk Register'!$M$6=3),'Risk Register'!$A$6,""),IF(AND('Risk Register'!$L$7=5,'Risk Register'!$M$7=3),'Risk Register'!$A$7,""),IF(AND('Risk Register'!$L$8=5,'Risk Register'!$M$8=3),'Risk Register'!$A$8,""),IF(AND('Risk Register'!$L$9=5,'Risk Register'!$M$9=3),'Risk Register'!$A$9,""),IF(AND('Risk Register'!$L$10=5,'Risk Register'!$M$10=3),'Risk Register'!$A$10,""),IF(AND('Risk Register'!$L$11=5,'Risk Register'!$M$11=3),'Risk Register'!$A$11,""),IF(AND('Risk Register'!$L$12=5,'Risk Register'!$M$12=3),'Risk Register'!$A$12,""),IF(AND('Risk Register'!$L$13=5,'Risk Register'!$M$13=3),'Risk Register'!$A$13,""),IF(AND('Risk Register'!$L$14=5,'Risk Register'!$M$14=3),'Risk Register'!$A$14,""),IF(AND('Risk Register'!$L$15=5,'Risk Register'!$M$15=3),'Risk Register'!$A$15,""),IF(AND('Risk Register'!$L$16=5,'Risk Register'!$M$16=3),'Risk Register'!$A$16,""),IF(AND('Risk Register'!$L$17=5,'Risk Register'!$M$17=3),'Risk Register'!$A$17,""),IF(AND('Risk Register'!$L$18=5,'Risk Register'!$M$18=3),'Risk Register'!$A$18,""),IF(AND('Risk Register'!$L$19=5,'Risk Register'!$M$19=3),'Risk Register'!$A$19,""),IF(AND('Risk Register'!$L$20=5,'Risk Register'!$M$20=3),'Risk Register'!$A$20,""),IF(AND('Risk Register'!$L$21=5,'Risk Register'!$M$21=3),'Risk Register'!$A$21,""),IF(AND('Risk Register'!$L$22=5,'Risk Register'!$M$22=3),'Risk Register'!$A$22,""),IF(AND('Risk Register'!$L$23=5,'Risk Register'!$M$23=3),'Risk Register'!$A$23,""),IF(AND('Risk Register'!$L$24=5,'Risk Register'!$M$24=3),'Risk Register'!$A$24,""),IF(AND('Risk Register'!$L$25=5,'Risk Register'!$M$25=3),'Risk Register'!$A$25,""),IF(AND('Risk Register'!$L$26=5,'Risk Register'!$M$26=3),'Risk Register'!$A$26,""),IF(AND('Risk Register'!$L$27=5,'Risk Register'!$M$27=3),'Risk Register'!$A$27,""),IF(AND('Risk Register'!$L$28=5,'Risk Register'!$M$28=3),'Risk Register'!$A$28,""),IF(AND('Risk Register'!$L$29=5,'Risk Register'!$M$29=3),'Risk Register'!$A$29,""),IF(AND('Risk Register'!$L$30=5,'Risk Register'!$M$30=3),'Risk Register'!$A$30,""),IF(AND('Risk Register'!$L$31=5,'Risk Register'!$M$31=3),'Risk Register'!$A$31,""),IF(AND('Risk Register'!$L$32=5,'Risk Register'!$M$32=3),'Risk Register'!$A$32,""),IF(AND('Risk Register'!$L$33=5,'Risk Register'!$M$33=3),'Risk Register'!$A$33,""),IF(AND('Risk Register'!$L$34=5,'Risk Register'!$M$34=3),'Risk Register'!$A$34,""))</f>
        <v/>
      </c>
      <c r="E13" s="12" t="str">
        <f aca="false">_xlfn.TEXTJOIN(", ",TRUE(),IF(AND('Risk Register'!$L$5=5,'Risk Register'!$M$5=4),'Risk Register'!$A$5,""),IF(AND('Risk Register'!$L$6=5,'Risk Register'!$M$6=4),'Risk Register'!$A$6,""),IF(AND('Risk Register'!$L$7=5,'Risk Register'!$M$7=4),'Risk Register'!$A$7,""),IF(AND('Risk Register'!$L$8=5,'Risk Register'!$M$8=4),'Risk Register'!$A$8,""),IF(AND('Risk Register'!$L$9=5,'Risk Register'!$M$9=4),'Risk Register'!$A$9,""),IF(AND('Risk Register'!$L$10=5,'Risk Register'!$M$10=4),'Risk Register'!$A$10,""),IF(AND('Risk Register'!$L$11=5,'Risk Register'!$M$11=4),'Risk Register'!$A$11,""),IF(AND('Risk Register'!$L$12=5,'Risk Register'!$M$12=4),'Risk Register'!$A$12,""),IF(AND('Risk Register'!$L$13=5,'Risk Register'!$M$13=4),'Risk Register'!$A$13,""),IF(AND('Risk Register'!$L$14=5,'Risk Register'!$M$14=4),'Risk Register'!$A$14,""),IF(AND('Risk Register'!$L$15=5,'Risk Register'!$M$15=4),'Risk Register'!$A$15,""),IF(AND('Risk Register'!$L$16=5,'Risk Register'!$M$16=4),'Risk Register'!$A$16,""),IF(AND('Risk Register'!$L$17=5,'Risk Register'!$M$17=4),'Risk Register'!$A$17,""),IF(AND('Risk Register'!$L$18=5,'Risk Register'!$M$18=4),'Risk Register'!$A$18,""),IF(AND('Risk Register'!$L$19=5,'Risk Register'!$M$19=4),'Risk Register'!$A$19,""),IF(AND('Risk Register'!$L$20=5,'Risk Register'!$M$20=4),'Risk Register'!$A$20,""),IF(AND('Risk Register'!$L$21=5,'Risk Register'!$M$21=4),'Risk Register'!$A$21,""),IF(AND('Risk Register'!$L$22=5,'Risk Register'!$M$22=4),'Risk Register'!$A$22,""),IF(AND('Risk Register'!$L$23=5,'Risk Register'!$M$23=4),'Risk Register'!$A$23,""),IF(AND('Risk Register'!$L$24=5,'Risk Register'!$M$24=4),'Risk Register'!$A$24,""),IF(AND('Risk Register'!$L$25=5,'Risk Register'!$M$25=4),'Risk Register'!$A$25,""),IF(AND('Risk Register'!$L$26=5,'Risk Register'!$M$26=4),'Risk Register'!$A$26,""),IF(AND('Risk Register'!$L$27=5,'Risk Register'!$M$27=4),'Risk Register'!$A$27,""),IF(AND('Risk Register'!$L$28=5,'Risk Register'!$M$28=4),'Risk Register'!$A$28,""),IF(AND('Risk Register'!$L$29=5,'Risk Register'!$M$29=4),'Risk Register'!$A$29,""),IF(AND('Risk Register'!$L$30=5,'Risk Register'!$M$30=4),'Risk Register'!$A$30,""),IF(AND('Risk Register'!$L$31=5,'Risk Register'!$M$31=4),'Risk Register'!$A$31,""),IF(AND('Risk Register'!$L$32=5,'Risk Register'!$M$32=4),'Risk Register'!$A$32,""),IF(AND('Risk Register'!$L$33=5,'Risk Register'!$M$33=4),'Risk Register'!$A$33,""),IF(AND('Risk Register'!$L$34=5,'Risk Register'!$M$34=4),'Risk Register'!$A$34,""))</f>
        <v/>
      </c>
      <c r="F13" s="12" t="str">
        <f aca="false">_xlfn.TEXTJOIN(", ",TRUE(),IF(AND('Risk Register'!$L$5=5,'Risk Register'!$M$5=5),'Risk Register'!$A$5,""),IF(AND('Risk Register'!$L$6=5,'Risk Register'!$M$6=5),'Risk Register'!$A$6,""),IF(AND('Risk Register'!$L$7=5,'Risk Register'!$M$7=5),'Risk Register'!$A$7,""),IF(AND('Risk Register'!$L$8=5,'Risk Register'!$M$8=5),'Risk Register'!$A$8,""),IF(AND('Risk Register'!$L$9=5,'Risk Register'!$M$9=5),'Risk Register'!$A$9,""),IF(AND('Risk Register'!$L$10=5,'Risk Register'!$M$10=5),'Risk Register'!$A$10,""),IF(AND('Risk Register'!$L$11=5,'Risk Register'!$M$11=5),'Risk Register'!$A$11,""),IF(AND('Risk Register'!$L$12=5,'Risk Register'!$M$12=5),'Risk Register'!$A$12,""),IF(AND('Risk Register'!$L$13=5,'Risk Register'!$M$13=5),'Risk Register'!$A$13,""),IF(AND('Risk Register'!$L$14=5,'Risk Register'!$M$14=5),'Risk Register'!$A$14,""),IF(AND('Risk Register'!$L$15=5,'Risk Register'!$M$15=5),'Risk Register'!$A$15,""),IF(AND('Risk Register'!$L$16=5,'Risk Register'!$M$16=5),'Risk Register'!$A$16,""),IF(AND('Risk Register'!$L$17=5,'Risk Register'!$M$17=5),'Risk Register'!$A$17,""),IF(AND('Risk Register'!$L$18=5,'Risk Register'!$M$18=5),'Risk Register'!$A$18,""),IF(AND('Risk Register'!$L$19=5,'Risk Register'!$M$19=5),'Risk Register'!$A$19,""),IF(AND('Risk Register'!$L$20=5,'Risk Register'!$M$20=5),'Risk Register'!$A$20,""),IF(AND('Risk Register'!$L$21=5,'Risk Register'!$M$21=5),'Risk Register'!$A$21,""),IF(AND('Risk Register'!$L$22=5,'Risk Register'!$M$22=5),'Risk Register'!$A$22,""),IF(AND('Risk Register'!$L$23=5,'Risk Register'!$M$23=5),'Risk Register'!$A$23,""),IF(AND('Risk Register'!$L$24=5,'Risk Register'!$M$24=5),'Risk Register'!$A$24,""),IF(AND('Risk Register'!$L$25=5,'Risk Register'!$M$25=5),'Risk Register'!$A$25,""),IF(AND('Risk Register'!$L$26=5,'Risk Register'!$M$26=5),'Risk Register'!$A$26,""),IF(AND('Risk Register'!$L$27=5,'Risk Register'!$M$27=5),'Risk Register'!$A$27,""),IF(AND('Risk Register'!$L$28=5,'Risk Register'!$M$28=5),'Risk Register'!$A$28,""),IF(AND('Risk Register'!$L$29=5,'Risk Register'!$M$29=5),'Risk Register'!$A$29,""),IF(AND('Risk Register'!$L$30=5,'Risk Register'!$M$30=5),'Risk Register'!$A$30,""),IF(AND('Risk Register'!$L$31=5,'Risk Register'!$M$31=5),'Risk Register'!$A$31,""),IF(AND('Risk Register'!$L$32=5,'Risk Register'!$M$32=5),'Risk Register'!$A$32,""),IF(AND('Risk Register'!$L$33=5,'Risk Register'!$M$33=5),'Risk Register'!$A$33,""),IF(AND('Risk Register'!$L$34=5,'Risk Register'!$M$34=5),'Risk Register'!$A$34,""))</f>
        <v/>
      </c>
    </row>
    <row r="14" customFormat="false" ht="61.5" hidden="false" customHeight="true" outlineLevel="0" collapsed="false">
      <c r="A14" s="9" t="s">
        <v>107</v>
      </c>
      <c r="B14" s="13" t="str">
        <f aca="false">_xlfn.TEXTJOIN(", ",TRUE(),IF(AND('Risk Register'!$L$5=4,'Risk Register'!$M$5=1),'Risk Register'!$A$5,""),IF(AND('Risk Register'!$L$6=4,'Risk Register'!$M$6=1),'Risk Register'!$A$6,""),IF(AND('Risk Register'!$L$7=4,'Risk Register'!$M$7=1),'Risk Register'!$A$7,""),IF(AND('Risk Register'!$L$8=4,'Risk Register'!$M$8=1),'Risk Register'!$A$8,""),IF(AND('Risk Register'!$L$9=4,'Risk Register'!$M$9=1),'Risk Register'!$A$9,""),IF(AND('Risk Register'!$L$10=4,'Risk Register'!$M$10=1),'Risk Register'!$A$10,""),IF(AND('Risk Register'!$L$11=4,'Risk Register'!$M$11=1),'Risk Register'!$A$11,""),IF(AND('Risk Register'!$L$12=4,'Risk Register'!$M$12=1),'Risk Register'!$A$12,""),IF(AND('Risk Register'!$L$13=4,'Risk Register'!$M$13=1),'Risk Register'!$A$13,""),IF(AND('Risk Register'!$L$14=4,'Risk Register'!$M$14=1),'Risk Register'!$A$14,""),IF(AND('Risk Register'!$L$15=4,'Risk Register'!$M$15=1),'Risk Register'!$A$15,""),IF(AND('Risk Register'!$L$16=4,'Risk Register'!$M$16=1),'Risk Register'!$A$16,""),IF(AND('Risk Register'!$L$17=4,'Risk Register'!$M$17=1),'Risk Register'!$A$17,""),IF(AND('Risk Register'!$L$18=4,'Risk Register'!$M$18=1),'Risk Register'!$A$18,""),IF(AND('Risk Register'!$L$19=4,'Risk Register'!$M$19=1),'Risk Register'!$A$19,""),IF(AND('Risk Register'!$L$20=4,'Risk Register'!$M$20=1),'Risk Register'!$A$20,""),IF(AND('Risk Register'!$L$21=4,'Risk Register'!$M$21=1),'Risk Register'!$A$21,""),IF(AND('Risk Register'!$L$22=4,'Risk Register'!$M$22=1),'Risk Register'!$A$22,""),IF(AND('Risk Register'!$L$23=4,'Risk Register'!$M$23=1),'Risk Register'!$A$23,""),IF(AND('Risk Register'!$L$24=4,'Risk Register'!$M$24=1),'Risk Register'!$A$24,""),IF(AND('Risk Register'!$L$25=4,'Risk Register'!$M$25=1),'Risk Register'!$A$25,""),IF(AND('Risk Register'!$L$26=4,'Risk Register'!$M$26=1),'Risk Register'!$A$26,""),IF(AND('Risk Register'!$L$27=4,'Risk Register'!$M$27=1),'Risk Register'!$A$27,""),IF(AND('Risk Register'!$L$28=4,'Risk Register'!$M$28=1),'Risk Register'!$A$28,""),IF(AND('Risk Register'!$L$29=4,'Risk Register'!$M$29=1),'Risk Register'!$A$29,""),IF(AND('Risk Register'!$L$30=4,'Risk Register'!$M$30=1),'Risk Register'!$A$30,""),IF(AND('Risk Register'!$L$31=4,'Risk Register'!$M$31=1),'Risk Register'!$A$31,""),IF(AND('Risk Register'!$L$32=4,'Risk Register'!$M$32=1),'Risk Register'!$A$32,""),IF(AND('Risk Register'!$L$33=4,'Risk Register'!$M$33=1),'Risk Register'!$A$33,""),IF(AND('Risk Register'!$L$34=4,'Risk Register'!$M$34=1),'Risk Register'!$A$34,""))</f>
        <v/>
      </c>
      <c r="C14" s="10" t="str">
        <f aca="false">_xlfn.TEXTJOIN(", ",TRUE(),IF(AND('Risk Register'!$L$5=4,'Risk Register'!$M$5=2),'Risk Register'!$A$5,""),IF(AND('Risk Register'!$L$6=4,'Risk Register'!$M$6=2),'Risk Register'!$A$6,""),IF(AND('Risk Register'!$L$7=4,'Risk Register'!$M$7=2),'Risk Register'!$A$7,""),IF(AND('Risk Register'!$L$8=4,'Risk Register'!$M$8=2),'Risk Register'!$A$8,""),IF(AND('Risk Register'!$L$9=4,'Risk Register'!$M$9=2),'Risk Register'!$A$9,""),IF(AND('Risk Register'!$L$10=4,'Risk Register'!$M$10=2),'Risk Register'!$A$10,""),IF(AND('Risk Register'!$L$11=4,'Risk Register'!$M$11=2),'Risk Register'!$A$11,""),IF(AND('Risk Register'!$L$12=4,'Risk Register'!$M$12=2),'Risk Register'!$A$12,""),IF(AND('Risk Register'!$L$13=4,'Risk Register'!$M$13=2),'Risk Register'!$A$13,""),IF(AND('Risk Register'!$L$14=4,'Risk Register'!$M$14=2),'Risk Register'!$A$14,""),IF(AND('Risk Register'!$L$15=4,'Risk Register'!$M$15=2),'Risk Register'!$A$15,""),IF(AND('Risk Register'!$L$16=4,'Risk Register'!$M$16=2),'Risk Register'!$A$16,""),IF(AND('Risk Register'!$L$17=4,'Risk Register'!$M$17=2),'Risk Register'!$A$17,""),IF(AND('Risk Register'!$L$18=4,'Risk Register'!$M$18=2),'Risk Register'!$A$18,""),IF(AND('Risk Register'!$L$19=4,'Risk Register'!$M$19=2),'Risk Register'!$A$19,""),IF(AND('Risk Register'!$L$20=4,'Risk Register'!$M$20=2),'Risk Register'!$A$20,""),IF(AND('Risk Register'!$L$21=4,'Risk Register'!$M$21=2),'Risk Register'!$A$21,""),IF(AND('Risk Register'!$L$22=4,'Risk Register'!$M$22=2),'Risk Register'!$A$22,""),IF(AND('Risk Register'!$L$23=4,'Risk Register'!$M$23=2),'Risk Register'!$A$23,""),IF(AND('Risk Register'!$L$24=4,'Risk Register'!$M$24=2),'Risk Register'!$A$24,""),IF(AND('Risk Register'!$L$25=4,'Risk Register'!$M$25=2),'Risk Register'!$A$25,""),IF(AND('Risk Register'!$L$26=4,'Risk Register'!$M$26=2),'Risk Register'!$A$26,""),IF(AND('Risk Register'!$L$27=4,'Risk Register'!$M$27=2),'Risk Register'!$A$27,""),IF(AND('Risk Register'!$L$28=4,'Risk Register'!$M$28=2),'Risk Register'!$A$28,""),IF(AND('Risk Register'!$L$29=4,'Risk Register'!$M$29=2),'Risk Register'!$A$29,""),IF(AND('Risk Register'!$L$30=4,'Risk Register'!$M$30=2),'Risk Register'!$A$30,""),IF(AND('Risk Register'!$L$31=4,'Risk Register'!$M$31=2),'Risk Register'!$A$31,""),IF(AND('Risk Register'!$L$32=4,'Risk Register'!$M$32=2),'Risk Register'!$A$32,""),IF(AND('Risk Register'!$L$33=4,'Risk Register'!$M$33=2),'Risk Register'!$A$33,""),IF(AND('Risk Register'!$L$34=4,'Risk Register'!$M$34=2),'Risk Register'!$A$34,""))</f>
        <v/>
      </c>
      <c r="D14" s="11" t="str">
        <f aca="false">_xlfn.TEXTJOIN(", ",TRUE(),IF(AND('Risk Register'!$L$5=4,'Risk Register'!$M$5=3),'Risk Register'!$A$5,""),IF(AND('Risk Register'!$L$6=4,'Risk Register'!$M$6=3),'Risk Register'!$A$6,""),IF(AND('Risk Register'!$L$7=4,'Risk Register'!$M$7=3),'Risk Register'!$A$7,""),IF(AND('Risk Register'!$L$8=4,'Risk Register'!$M$8=3),'Risk Register'!$A$8,""),IF(AND('Risk Register'!$L$9=4,'Risk Register'!$M$9=3),'Risk Register'!$A$9,""),IF(AND('Risk Register'!$L$10=4,'Risk Register'!$M$10=3),'Risk Register'!$A$10,""),IF(AND('Risk Register'!$L$11=4,'Risk Register'!$M$11=3),'Risk Register'!$A$11,""),IF(AND('Risk Register'!$L$12=4,'Risk Register'!$M$12=3),'Risk Register'!$A$12,""),IF(AND('Risk Register'!$L$13=4,'Risk Register'!$M$13=3),'Risk Register'!$A$13,""),IF(AND('Risk Register'!$L$14=4,'Risk Register'!$M$14=3),'Risk Register'!$A$14,""),IF(AND('Risk Register'!$L$15=4,'Risk Register'!$M$15=3),'Risk Register'!$A$15,""),IF(AND('Risk Register'!$L$16=4,'Risk Register'!$M$16=3),'Risk Register'!$A$16,""),IF(AND('Risk Register'!$L$17=4,'Risk Register'!$M$17=3),'Risk Register'!$A$17,""),IF(AND('Risk Register'!$L$18=4,'Risk Register'!$M$18=3),'Risk Register'!$A$18,""),IF(AND('Risk Register'!$L$19=4,'Risk Register'!$M$19=3),'Risk Register'!$A$19,""),IF(AND('Risk Register'!$L$20=4,'Risk Register'!$M$20=3),'Risk Register'!$A$20,""),IF(AND('Risk Register'!$L$21=4,'Risk Register'!$M$21=3),'Risk Register'!$A$21,""),IF(AND('Risk Register'!$L$22=4,'Risk Register'!$M$22=3),'Risk Register'!$A$22,""),IF(AND('Risk Register'!$L$23=4,'Risk Register'!$M$23=3),'Risk Register'!$A$23,""),IF(AND('Risk Register'!$L$24=4,'Risk Register'!$M$24=3),'Risk Register'!$A$24,""),IF(AND('Risk Register'!$L$25=4,'Risk Register'!$M$25=3),'Risk Register'!$A$25,""),IF(AND('Risk Register'!$L$26=4,'Risk Register'!$M$26=3),'Risk Register'!$A$26,""),IF(AND('Risk Register'!$L$27=4,'Risk Register'!$M$27=3),'Risk Register'!$A$27,""),IF(AND('Risk Register'!$L$28=4,'Risk Register'!$M$28=3),'Risk Register'!$A$28,""),IF(AND('Risk Register'!$L$29=4,'Risk Register'!$M$29=3),'Risk Register'!$A$29,""),IF(AND('Risk Register'!$L$30=4,'Risk Register'!$M$30=3),'Risk Register'!$A$30,""),IF(AND('Risk Register'!$L$31=4,'Risk Register'!$M$31=3),'Risk Register'!$A$31,""),IF(AND('Risk Register'!$L$32=4,'Risk Register'!$M$32=3),'Risk Register'!$A$32,""),IF(AND('Risk Register'!$L$33=4,'Risk Register'!$M$33=3),'Risk Register'!$A$33,""),IF(AND('Risk Register'!$L$34=4,'Risk Register'!$M$34=3),'Risk Register'!$A$34,""))</f>
        <v/>
      </c>
      <c r="E14" s="11" t="str">
        <f aca="false">_xlfn.TEXTJOIN(", ",TRUE(),IF(AND('Risk Register'!$L$5=4,'Risk Register'!$M$5=4),'Risk Register'!$A$5,""),IF(AND('Risk Register'!$L$6=4,'Risk Register'!$M$6=4),'Risk Register'!$A$6,""),IF(AND('Risk Register'!$L$7=4,'Risk Register'!$M$7=4),'Risk Register'!$A$7,""),IF(AND('Risk Register'!$L$8=4,'Risk Register'!$M$8=4),'Risk Register'!$A$8,""),IF(AND('Risk Register'!$L$9=4,'Risk Register'!$M$9=4),'Risk Register'!$A$9,""),IF(AND('Risk Register'!$L$10=4,'Risk Register'!$M$10=4),'Risk Register'!$A$10,""),IF(AND('Risk Register'!$L$11=4,'Risk Register'!$M$11=4),'Risk Register'!$A$11,""),IF(AND('Risk Register'!$L$12=4,'Risk Register'!$M$12=4),'Risk Register'!$A$12,""),IF(AND('Risk Register'!$L$13=4,'Risk Register'!$M$13=4),'Risk Register'!$A$13,""),IF(AND('Risk Register'!$L$14=4,'Risk Register'!$M$14=4),'Risk Register'!$A$14,""),IF(AND('Risk Register'!$L$15=4,'Risk Register'!$M$15=4),'Risk Register'!$A$15,""),IF(AND('Risk Register'!$L$16=4,'Risk Register'!$M$16=4),'Risk Register'!$A$16,""),IF(AND('Risk Register'!$L$17=4,'Risk Register'!$M$17=4),'Risk Register'!$A$17,""),IF(AND('Risk Register'!$L$18=4,'Risk Register'!$M$18=4),'Risk Register'!$A$18,""),IF(AND('Risk Register'!$L$19=4,'Risk Register'!$M$19=4),'Risk Register'!$A$19,""),IF(AND('Risk Register'!$L$20=4,'Risk Register'!$M$20=4),'Risk Register'!$A$20,""),IF(AND('Risk Register'!$L$21=4,'Risk Register'!$M$21=4),'Risk Register'!$A$21,""),IF(AND('Risk Register'!$L$22=4,'Risk Register'!$M$22=4),'Risk Register'!$A$22,""),IF(AND('Risk Register'!$L$23=4,'Risk Register'!$M$23=4),'Risk Register'!$A$23,""),IF(AND('Risk Register'!$L$24=4,'Risk Register'!$M$24=4),'Risk Register'!$A$24,""),IF(AND('Risk Register'!$L$25=4,'Risk Register'!$M$25=4),'Risk Register'!$A$25,""),IF(AND('Risk Register'!$L$26=4,'Risk Register'!$M$26=4),'Risk Register'!$A$26,""),IF(AND('Risk Register'!$L$27=4,'Risk Register'!$M$27=4),'Risk Register'!$A$27,""),IF(AND('Risk Register'!$L$28=4,'Risk Register'!$M$28=4),'Risk Register'!$A$28,""),IF(AND('Risk Register'!$L$29=4,'Risk Register'!$M$29=4),'Risk Register'!$A$29,""),IF(AND('Risk Register'!$L$30=4,'Risk Register'!$M$30=4),'Risk Register'!$A$30,""),IF(AND('Risk Register'!$L$31=4,'Risk Register'!$M$31=4),'Risk Register'!$A$31,""),IF(AND('Risk Register'!$L$32=4,'Risk Register'!$M$32=4),'Risk Register'!$A$32,""),IF(AND('Risk Register'!$L$33=4,'Risk Register'!$M$33=4),'Risk Register'!$A$33,""),IF(AND('Risk Register'!$L$34=4,'Risk Register'!$M$34=4),'Risk Register'!$A$34,""))</f>
        <v/>
      </c>
      <c r="F14" s="12" t="str">
        <f aca="false">_xlfn.TEXTJOIN(", ",TRUE(),IF(AND('Risk Register'!$L$5=4,'Risk Register'!$M$5=5),'Risk Register'!$A$5,""),IF(AND('Risk Register'!$L$6=4,'Risk Register'!$M$6=5),'Risk Register'!$A$6,""),IF(AND('Risk Register'!$L$7=4,'Risk Register'!$M$7=5),'Risk Register'!$A$7,""),IF(AND('Risk Register'!$L$8=4,'Risk Register'!$M$8=5),'Risk Register'!$A$8,""),IF(AND('Risk Register'!$L$9=4,'Risk Register'!$M$9=5),'Risk Register'!$A$9,""),IF(AND('Risk Register'!$L$10=4,'Risk Register'!$M$10=5),'Risk Register'!$A$10,""),IF(AND('Risk Register'!$L$11=4,'Risk Register'!$M$11=5),'Risk Register'!$A$11,""),IF(AND('Risk Register'!$L$12=4,'Risk Register'!$M$12=5),'Risk Register'!$A$12,""),IF(AND('Risk Register'!$L$13=4,'Risk Register'!$M$13=5),'Risk Register'!$A$13,""),IF(AND('Risk Register'!$L$14=4,'Risk Register'!$M$14=5),'Risk Register'!$A$14,""),IF(AND('Risk Register'!$L$15=4,'Risk Register'!$M$15=5),'Risk Register'!$A$15,""),IF(AND('Risk Register'!$L$16=4,'Risk Register'!$M$16=5),'Risk Register'!$A$16,""),IF(AND('Risk Register'!$L$17=4,'Risk Register'!$M$17=5),'Risk Register'!$A$17,""),IF(AND('Risk Register'!$L$18=4,'Risk Register'!$M$18=5),'Risk Register'!$A$18,""),IF(AND('Risk Register'!$L$19=4,'Risk Register'!$M$19=5),'Risk Register'!$A$19,""),IF(AND('Risk Register'!$L$20=4,'Risk Register'!$M$20=5),'Risk Register'!$A$20,""),IF(AND('Risk Register'!$L$21=4,'Risk Register'!$M$21=5),'Risk Register'!$A$21,""),IF(AND('Risk Register'!$L$22=4,'Risk Register'!$M$22=5),'Risk Register'!$A$22,""),IF(AND('Risk Register'!$L$23=4,'Risk Register'!$M$23=5),'Risk Register'!$A$23,""),IF(AND('Risk Register'!$L$24=4,'Risk Register'!$M$24=5),'Risk Register'!$A$24,""),IF(AND('Risk Register'!$L$25=4,'Risk Register'!$M$25=5),'Risk Register'!$A$25,""),IF(AND('Risk Register'!$L$26=4,'Risk Register'!$M$26=5),'Risk Register'!$A$26,""),IF(AND('Risk Register'!$L$27=4,'Risk Register'!$M$27=5),'Risk Register'!$A$27,""),IF(AND('Risk Register'!$L$28=4,'Risk Register'!$M$28=5),'Risk Register'!$A$28,""),IF(AND('Risk Register'!$L$29=4,'Risk Register'!$M$29=5),'Risk Register'!$A$29,""),IF(AND('Risk Register'!$L$30=4,'Risk Register'!$M$30=5),'Risk Register'!$A$30,""),IF(AND('Risk Register'!$L$31=4,'Risk Register'!$M$31=5),'Risk Register'!$A$31,""),IF(AND('Risk Register'!$L$32=4,'Risk Register'!$M$32=5),'Risk Register'!$A$32,""),IF(AND('Risk Register'!$L$33=4,'Risk Register'!$M$33=5),'Risk Register'!$A$33,""),IF(AND('Risk Register'!$L$34=4,'Risk Register'!$M$34=5),'Risk Register'!$A$34,""))</f>
        <v/>
      </c>
    </row>
    <row r="15" customFormat="false" ht="61.5" hidden="false" customHeight="true" outlineLevel="0" collapsed="false">
      <c r="A15" s="9" t="s">
        <v>103</v>
      </c>
      <c r="B15" s="13" t="str">
        <f aca="false">_xlfn.TEXTJOIN(", ",TRUE(),IF(AND('Risk Register'!$L$5=3,'Risk Register'!$M$5=1),'Risk Register'!$A$5,""),IF(AND('Risk Register'!$L$6=3,'Risk Register'!$M$6=1),'Risk Register'!$A$6,""),IF(AND('Risk Register'!$L$7=3,'Risk Register'!$M$7=1),'Risk Register'!$A$7,""),IF(AND('Risk Register'!$L$8=3,'Risk Register'!$M$8=1),'Risk Register'!$A$8,""),IF(AND('Risk Register'!$L$9=3,'Risk Register'!$M$9=1),'Risk Register'!$A$9,""),IF(AND('Risk Register'!$L$10=3,'Risk Register'!$M$10=1),'Risk Register'!$A$10,""),IF(AND('Risk Register'!$L$11=3,'Risk Register'!$M$11=1),'Risk Register'!$A$11,""),IF(AND('Risk Register'!$L$12=3,'Risk Register'!$M$12=1),'Risk Register'!$A$12,""),IF(AND('Risk Register'!$L$13=3,'Risk Register'!$M$13=1),'Risk Register'!$A$13,""),IF(AND('Risk Register'!$L$14=3,'Risk Register'!$M$14=1),'Risk Register'!$A$14,""),IF(AND('Risk Register'!$L$15=3,'Risk Register'!$M$15=1),'Risk Register'!$A$15,""),IF(AND('Risk Register'!$L$16=3,'Risk Register'!$M$16=1),'Risk Register'!$A$16,""),IF(AND('Risk Register'!$L$17=3,'Risk Register'!$M$17=1),'Risk Register'!$A$17,""),IF(AND('Risk Register'!$L$18=3,'Risk Register'!$M$18=1),'Risk Register'!$A$18,""),IF(AND('Risk Register'!$L$19=3,'Risk Register'!$M$19=1),'Risk Register'!$A$19,""),IF(AND('Risk Register'!$L$20=3,'Risk Register'!$M$20=1),'Risk Register'!$A$20,""),IF(AND('Risk Register'!$L$21=3,'Risk Register'!$M$21=1),'Risk Register'!$A$21,""),IF(AND('Risk Register'!$L$22=3,'Risk Register'!$M$22=1),'Risk Register'!$A$22,""),IF(AND('Risk Register'!$L$23=3,'Risk Register'!$M$23=1),'Risk Register'!$A$23,""),IF(AND('Risk Register'!$L$24=3,'Risk Register'!$M$24=1),'Risk Register'!$A$24,""),IF(AND('Risk Register'!$L$25=3,'Risk Register'!$M$25=1),'Risk Register'!$A$25,""),IF(AND('Risk Register'!$L$26=3,'Risk Register'!$M$26=1),'Risk Register'!$A$26,""),IF(AND('Risk Register'!$L$27=3,'Risk Register'!$M$27=1),'Risk Register'!$A$27,""),IF(AND('Risk Register'!$L$28=3,'Risk Register'!$M$28=1),'Risk Register'!$A$28,""),IF(AND('Risk Register'!$L$29=3,'Risk Register'!$M$29=1),'Risk Register'!$A$29,""),IF(AND('Risk Register'!$L$30=3,'Risk Register'!$M$30=1),'Risk Register'!$A$30,""),IF(AND('Risk Register'!$L$31=3,'Risk Register'!$M$31=1),'Risk Register'!$A$31,""),IF(AND('Risk Register'!$L$32=3,'Risk Register'!$M$32=1),'Risk Register'!$A$32,""),IF(AND('Risk Register'!$L$33=3,'Risk Register'!$M$33=1),'Risk Register'!$A$33,""),IF(AND('Risk Register'!$L$34=3,'Risk Register'!$M$34=1),'Risk Register'!$A$34,""))</f>
        <v/>
      </c>
      <c r="C15" s="10" t="str">
        <f aca="false">_xlfn.TEXTJOIN(", ",TRUE(),IF(AND('Risk Register'!$L$5=3,'Risk Register'!$M$5=2),'Risk Register'!$A$5,""),IF(AND('Risk Register'!$L$6=3,'Risk Register'!$M$6=2),'Risk Register'!$A$6,""),IF(AND('Risk Register'!$L$7=3,'Risk Register'!$M$7=2),'Risk Register'!$A$7,""),IF(AND('Risk Register'!$L$8=3,'Risk Register'!$M$8=2),'Risk Register'!$A$8,""),IF(AND('Risk Register'!$L$9=3,'Risk Register'!$M$9=2),'Risk Register'!$A$9,""),IF(AND('Risk Register'!$L$10=3,'Risk Register'!$M$10=2),'Risk Register'!$A$10,""),IF(AND('Risk Register'!$L$11=3,'Risk Register'!$M$11=2),'Risk Register'!$A$11,""),IF(AND('Risk Register'!$L$12=3,'Risk Register'!$M$12=2),'Risk Register'!$A$12,""),IF(AND('Risk Register'!$L$13=3,'Risk Register'!$M$13=2),'Risk Register'!$A$13,""),IF(AND('Risk Register'!$L$14=3,'Risk Register'!$M$14=2),'Risk Register'!$A$14,""),IF(AND('Risk Register'!$L$15=3,'Risk Register'!$M$15=2),'Risk Register'!$A$15,""),IF(AND('Risk Register'!$L$16=3,'Risk Register'!$M$16=2),'Risk Register'!$A$16,""),IF(AND('Risk Register'!$L$17=3,'Risk Register'!$M$17=2),'Risk Register'!$A$17,""),IF(AND('Risk Register'!$L$18=3,'Risk Register'!$M$18=2),'Risk Register'!$A$18,""),IF(AND('Risk Register'!$L$19=3,'Risk Register'!$M$19=2),'Risk Register'!$A$19,""),IF(AND('Risk Register'!$L$20=3,'Risk Register'!$M$20=2),'Risk Register'!$A$20,""),IF(AND('Risk Register'!$L$21=3,'Risk Register'!$M$21=2),'Risk Register'!$A$21,""),IF(AND('Risk Register'!$L$22=3,'Risk Register'!$M$22=2),'Risk Register'!$A$22,""),IF(AND('Risk Register'!$L$23=3,'Risk Register'!$M$23=2),'Risk Register'!$A$23,""),IF(AND('Risk Register'!$L$24=3,'Risk Register'!$M$24=2),'Risk Register'!$A$24,""),IF(AND('Risk Register'!$L$25=3,'Risk Register'!$M$25=2),'Risk Register'!$A$25,""),IF(AND('Risk Register'!$L$26=3,'Risk Register'!$M$26=2),'Risk Register'!$A$26,""),IF(AND('Risk Register'!$L$27=3,'Risk Register'!$M$27=2),'Risk Register'!$A$27,""),IF(AND('Risk Register'!$L$28=3,'Risk Register'!$M$28=2),'Risk Register'!$A$28,""),IF(AND('Risk Register'!$L$29=3,'Risk Register'!$M$29=2),'Risk Register'!$A$29,""),IF(AND('Risk Register'!$L$30=3,'Risk Register'!$M$30=2),'Risk Register'!$A$30,""),IF(AND('Risk Register'!$L$31=3,'Risk Register'!$M$31=2),'Risk Register'!$A$31,""),IF(AND('Risk Register'!$L$32=3,'Risk Register'!$M$32=2),'Risk Register'!$A$32,""),IF(AND('Risk Register'!$L$33=3,'Risk Register'!$M$33=2),'Risk Register'!$A$33,""),IF(AND('Risk Register'!$L$34=3,'Risk Register'!$M$34=2),'Risk Register'!$A$34,""))</f>
        <v/>
      </c>
      <c r="D15" s="10" t="str">
        <f aca="false">_xlfn.TEXTJOIN(", ",TRUE(),IF(AND('Risk Register'!$L$5=3,'Risk Register'!$M$5=3),'Risk Register'!$A$5,""),IF(AND('Risk Register'!$L$6=3,'Risk Register'!$M$6=3),'Risk Register'!$A$6,""),IF(AND('Risk Register'!$L$7=3,'Risk Register'!$M$7=3),'Risk Register'!$A$7,""),IF(AND('Risk Register'!$L$8=3,'Risk Register'!$M$8=3),'Risk Register'!$A$8,""),IF(AND('Risk Register'!$L$9=3,'Risk Register'!$M$9=3),'Risk Register'!$A$9,""),IF(AND('Risk Register'!$L$10=3,'Risk Register'!$M$10=3),'Risk Register'!$A$10,""),IF(AND('Risk Register'!$L$11=3,'Risk Register'!$M$11=3),'Risk Register'!$A$11,""),IF(AND('Risk Register'!$L$12=3,'Risk Register'!$M$12=3),'Risk Register'!$A$12,""),IF(AND('Risk Register'!$L$13=3,'Risk Register'!$M$13=3),'Risk Register'!$A$13,""),IF(AND('Risk Register'!$L$14=3,'Risk Register'!$M$14=3),'Risk Register'!$A$14,""),IF(AND('Risk Register'!$L$15=3,'Risk Register'!$M$15=3),'Risk Register'!$A$15,""),IF(AND('Risk Register'!$L$16=3,'Risk Register'!$M$16=3),'Risk Register'!$A$16,""),IF(AND('Risk Register'!$L$17=3,'Risk Register'!$M$17=3),'Risk Register'!$A$17,""),IF(AND('Risk Register'!$L$18=3,'Risk Register'!$M$18=3),'Risk Register'!$A$18,""),IF(AND('Risk Register'!$L$19=3,'Risk Register'!$M$19=3),'Risk Register'!$A$19,""),IF(AND('Risk Register'!$L$20=3,'Risk Register'!$M$20=3),'Risk Register'!$A$20,""),IF(AND('Risk Register'!$L$21=3,'Risk Register'!$M$21=3),'Risk Register'!$A$21,""),IF(AND('Risk Register'!$L$22=3,'Risk Register'!$M$22=3),'Risk Register'!$A$22,""),IF(AND('Risk Register'!$L$23=3,'Risk Register'!$M$23=3),'Risk Register'!$A$23,""),IF(AND('Risk Register'!$L$24=3,'Risk Register'!$M$24=3),'Risk Register'!$A$24,""),IF(AND('Risk Register'!$L$25=3,'Risk Register'!$M$25=3),'Risk Register'!$A$25,""),IF(AND('Risk Register'!$L$26=3,'Risk Register'!$M$26=3),'Risk Register'!$A$26,""),IF(AND('Risk Register'!$L$27=3,'Risk Register'!$M$27=3),'Risk Register'!$A$27,""),IF(AND('Risk Register'!$L$28=3,'Risk Register'!$M$28=3),'Risk Register'!$A$28,""),IF(AND('Risk Register'!$L$29=3,'Risk Register'!$M$29=3),'Risk Register'!$A$29,""),IF(AND('Risk Register'!$L$30=3,'Risk Register'!$M$30=3),'Risk Register'!$A$30,""),IF(AND('Risk Register'!$L$31=3,'Risk Register'!$M$31=3),'Risk Register'!$A$31,""),IF(AND('Risk Register'!$L$32=3,'Risk Register'!$M$32=3),'Risk Register'!$A$32,""),IF(AND('Risk Register'!$L$33=3,'Risk Register'!$M$33=3),'Risk Register'!$A$33,""),IF(AND('Risk Register'!$L$34=3,'Risk Register'!$M$34=3),'Risk Register'!$A$34,""))</f>
        <v/>
      </c>
      <c r="E15" s="11" t="str">
        <f aca="false">_xlfn.TEXTJOIN(", ",TRUE(),IF(AND('Risk Register'!$L$5=3,'Risk Register'!$M$5=4),'Risk Register'!$A$5,""),IF(AND('Risk Register'!$L$6=3,'Risk Register'!$M$6=4),'Risk Register'!$A$6,""),IF(AND('Risk Register'!$L$7=3,'Risk Register'!$M$7=4),'Risk Register'!$A$7,""),IF(AND('Risk Register'!$L$8=3,'Risk Register'!$M$8=4),'Risk Register'!$A$8,""),IF(AND('Risk Register'!$L$9=3,'Risk Register'!$M$9=4),'Risk Register'!$A$9,""),IF(AND('Risk Register'!$L$10=3,'Risk Register'!$M$10=4),'Risk Register'!$A$10,""),IF(AND('Risk Register'!$L$11=3,'Risk Register'!$M$11=4),'Risk Register'!$A$11,""),IF(AND('Risk Register'!$L$12=3,'Risk Register'!$M$12=4),'Risk Register'!$A$12,""),IF(AND('Risk Register'!$L$13=3,'Risk Register'!$M$13=4),'Risk Register'!$A$13,""),IF(AND('Risk Register'!$L$14=3,'Risk Register'!$M$14=4),'Risk Register'!$A$14,""),IF(AND('Risk Register'!$L$15=3,'Risk Register'!$M$15=4),'Risk Register'!$A$15,""),IF(AND('Risk Register'!$L$16=3,'Risk Register'!$M$16=4),'Risk Register'!$A$16,""),IF(AND('Risk Register'!$L$17=3,'Risk Register'!$M$17=4),'Risk Register'!$A$17,""),IF(AND('Risk Register'!$L$18=3,'Risk Register'!$M$18=4),'Risk Register'!$A$18,""),IF(AND('Risk Register'!$L$19=3,'Risk Register'!$M$19=4),'Risk Register'!$A$19,""),IF(AND('Risk Register'!$L$20=3,'Risk Register'!$M$20=4),'Risk Register'!$A$20,""),IF(AND('Risk Register'!$L$21=3,'Risk Register'!$M$21=4),'Risk Register'!$A$21,""),IF(AND('Risk Register'!$L$22=3,'Risk Register'!$M$22=4),'Risk Register'!$A$22,""),IF(AND('Risk Register'!$L$23=3,'Risk Register'!$M$23=4),'Risk Register'!$A$23,""),IF(AND('Risk Register'!$L$24=3,'Risk Register'!$M$24=4),'Risk Register'!$A$24,""),IF(AND('Risk Register'!$L$25=3,'Risk Register'!$M$25=4),'Risk Register'!$A$25,""),IF(AND('Risk Register'!$L$26=3,'Risk Register'!$M$26=4),'Risk Register'!$A$26,""),IF(AND('Risk Register'!$L$27=3,'Risk Register'!$M$27=4),'Risk Register'!$A$27,""),IF(AND('Risk Register'!$L$28=3,'Risk Register'!$M$28=4),'Risk Register'!$A$28,""),IF(AND('Risk Register'!$L$29=3,'Risk Register'!$M$29=4),'Risk Register'!$A$29,""),IF(AND('Risk Register'!$L$30=3,'Risk Register'!$M$30=4),'Risk Register'!$A$30,""),IF(AND('Risk Register'!$L$31=3,'Risk Register'!$M$31=4),'Risk Register'!$A$31,""),IF(AND('Risk Register'!$L$32=3,'Risk Register'!$M$32=4),'Risk Register'!$A$32,""),IF(AND('Risk Register'!$L$33=3,'Risk Register'!$M$33=4),'Risk Register'!$A$33,""),IF(AND('Risk Register'!$L$34=3,'Risk Register'!$M$34=4),'Risk Register'!$A$34,""))</f>
        <v/>
      </c>
      <c r="F15" s="11" t="str">
        <f aca="false">_xlfn.TEXTJOIN(", ",TRUE(),IF(AND('Risk Register'!$L$5=3,'Risk Register'!$M$5=5),'Risk Register'!$A$5,""),IF(AND('Risk Register'!$L$6=3,'Risk Register'!$M$6=5),'Risk Register'!$A$6,""),IF(AND('Risk Register'!$L$7=3,'Risk Register'!$M$7=5),'Risk Register'!$A$7,""),IF(AND('Risk Register'!$L$8=3,'Risk Register'!$M$8=5),'Risk Register'!$A$8,""),IF(AND('Risk Register'!$L$9=3,'Risk Register'!$M$9=5),'Risk Register'!$A$9,""),IF(AND('Risk Register'!$L$10=3,'Risk Register'!$M$10=5),'Risk Register'!$A$10,""),IF(AND('Risk Register'!$L$11=3,'Risk Register'!$M$11=5),'Risk Register'!$A$11,""),IF(AND('Risk Register'!$L$12=3,'Risk Register'!$M$12=5),'Risk Register'!$A$12,""),IF(AND('Risk Register'!$L$13=3,'Risk Register'!$M$13=5),'Risk Register'!$A$13,""),IF(AND('Risk Register'!$L$14=3,'Risk Register'!$M$14=5),'Risk Register'!$A$14,""),IF(AND('Risk Register'!$L$15=3,'Risk Register'!$M$15=5),'Risk Register'!$A$15,""),IF(AND('Risk Register'!$L$16=3,'Risk Register'!$M$16=5),'Risk Register'!$A$16,""),IF(AND('Risk Register'!$L$17=3,'Risk Register'!$M$17=5),'Risk Register'!$A$17,""),IF(AND('Risk Register'!$L$18=3,'Risk Register'!$M$18=5),'Risk Register'!$A$18,""),IF(AND('Risk Register'!$L$19=3,'Risk Register'!$M$19=5),'Risk Register'!$A$19,""),IF(AND('Risk Register'!$L$20=3,'Risk Register'!$M$20=5),'Risk Register'!$A$20,""),IF(AND('Risk Register'!$L$21=3,'Risk Register'!$M$21=5),'Risk Register'!$A$21,""),IF(AND('Risk Register'!$L$22=3,'Risk Register'!$M$22=5),'Risk Register'!$A$22,""),IF(AND('Risk Register'!$L$23=3,'Risk Register'!$M$23=5),'Risk Register'!$A$23,""),IF(AND('Risk Register'!$L$24=3,'Risk Register'!$M$24=5),'Risk Register'!$A$24,""),IF(AND('Risk Register'!$L$25=3,'Risk Register'!$M$25=5),'Risk Register'!$A$25,""),IF(AND('Risk Register'!$L$26=3,'Risk Register'!$M$26=5),'Risk Register'!$A$26,""),IF(AND('Risk Register'!$L$27=3,'Risk Register'!$M$27=5),'Risk Register'!$A$27,""),IF(AND('Risk Register'!$L$28=3,'Risk Register'!$M$28=5),'Risk Register'!$A$28,""),IF(AND('Risk Register'!$L$29=3,'Risk Register'!$M$29=5),'Risk Register'!$A$29,""),IF(AND('Risk Register'!$L$30=3,'Risk Register'!$M$30=5),'Risk Register'!$A$30,""),IF(AND('Risk Register'!$L$31=3,'Risk Register'!$M$31=5),'Risk Register'!$A$31,""),IF(AND('Risk Register'!$L$32=3,'Risk Register'!$M$32=5),'Risk Register'!$A$32,""),IF(AND('Risk Register'!$L$33=3,'Risk Register'!$M$33=5),'Risk Register'!$A$33,""),IF(AND('Risk Register'!$L$34=3,'Risk Register'!$M$34=5),'Risk Register'!$A$34,""))</f>
        <v/>
      </c>
    </row>
    <row r="16" customFormat="false" ht="61.5" hidden="false" customHeight="true" outlineLevel="0" collapsed="false">
      <c r="A16" s="9" t="s">
        <v>108</v>
      </c>
      <c r="B16" s="13" t="str">
        <f aca="false">_xlfn.TEXTJOIN(", ",TRUE(),IF(AND('Risk Register'!$L$5=2,'Risk Register'!$M$5=1),'Risk Register'!$A$5,""),IF(AND('Risk Register'!$L$6=2,'Risk Register'!$M$6=1),'Risk Register'!$A$6,""),IF(AND('Risk Register'!$L$7=2,'Risk Register'!$M$7=1),'Risk Register'!$A$7,""),IF(AND('Risk Register'!$L$8=2,'Risk Register'!$M$8=1),'Risk Register'!$A$8,""),IF(AND('Risk Register'!$L$9=2,'Risk Register'!$M$9=1),'Risk Register'!$A$9,""),IF(AND('Risk Register'!$L$10=2,'Risk Register'!$M$10=1),'Risk Register'!$A$10,""),IF(AND('Risk Register'!$L$11=2,'Risk Register'!$M$11=1),'Risk Register'!$A$11,""),IF(AND('Risk Register'!$L$12=2,'Risk Register'!$M$12=1),'Risk Register'!$A$12,""),IF(AND('Risk Register'!$L$13=2,'Risk Register'!$M$13=1),'Risk Register'!$A$13,""),IF(AND('Risk Register'!$L$14=2,'Risk Register'!$M$14=1),'Risk Register'!$A$14,""),IF(AND('Risk Register'!$L$15=2,'Risk Register'!$M$15=1),'Risk Register'!$A$15,""),IF(AND('Risk Register'!$L$16=2,'Risk Register'!$M$16=1),'Risk Register'!$A$16,""),IF(AND('Risk Register'!$L$17=2,'Risk Register'!$M$17=1),'Risk Register'!$A$17,""),IF(AND('Risk Register'!$L$18=2,'Risk Register'!$M$18=1),'Risk Register'!$A$18,""),IF(AND('Risk Register'!$L$19=2,'Risk Register'!$M$19=1),'Risk Register'!$A$19,""),IF(AND('Risk Register'!$L$20=2,'Risk Register'!$M$20=1),'Risk Register'!$A$20,""),IF(AND('Risk Register'!$L$21=2,'Risk Register'!$M$21=1),'Risk Register'!$A$21,""),IF(AND('Risk Register'!$L$22=2,'Risk Register'!$M$22=1),'Risk Register'!$A$22,""),IF(AND('Risk Register'!$L$23=2,'Risk Register'!$M$23=1),'Risk Register'!$A$23,""),IF(AND('Risk Register'!$L$24=2,'Risk Register'!$M$24=1),'Risk Register'!$A$24,""),IF(AND('Risk Register'!$L$25=2,'Risk Register'!$M$25=1),'Risk Register'!$A$25,""),IF(AND('Risk Register'!$L$26=2,'Risk Register'!$M$26=1),'Risk Register'!$A$26,""),IF(AND('Risk Register'!$L$27=2,'Risk Register'!$M$27=1),'Risk Register'!$A$27,""),IF(AND('Risk Register'!$L$28=2,'Risk Register'!$M$28=1),'Risk Register'!$A$28,""),IF(AND('Risk Register'!$L$29=2,'Risk Register'!$M$29=1),'Risk Register'!$A$29,""),IF(AND('Risk Register'!$L$30=2,'Risk Register'!$M$30=1),'Risk Register'!$A$30,""),IF(AND('Risk Register'!$L$31=2,'Risk Register'!$M$31=1),'Risk Register'!$A$31,""),IF(AND('Risk Register'!$L$32=2,'Risk Register'!$M$32=1),'Risk Register'!$A$32,""),IF(AND('Risk Register'!$L$33=2,'Risk Register'!$M$33=1),'Risk Register'!$A$33,""),IF(AND('Risk Register'!$L$34=2,'Risk Register'!$M$34=1),'Risk Register'!$A$34,""))</f>
        <v/>
      </c>
      <c r="C16" s="13" t="str">
        <f aca="false">_xlfn.TEXTJOIN(", ",TRUE(),IF(AND('Risk Register'!$L$5=2,'Risk Register'!$M$5=2),'Risk Register'!$A$5,""),IF(AND('Risk Register'!$L$6=2,'Risk Register'!$M$6=2),'Risk Register'!$A$6,""),IF(AND('Risk Register'!$L$7=2,'Risk Register'!$M$7=2),'Risk Register'!$A$7,""),IF(AND('Risk Register'!$L$8=2,'Risk Register'!$M$8=2),'Risk Register'!$A$8,""),IF(AND('Risk Register'!$L$9=2,'Risk Register'!$M$9=2),'Risk Register'!$A$9,""),IF(AND('Risk Register'!$L$10=2,'Risk Register'!$M$10=2),'Risk Register'!$A$10,""),IF(AND('Risk Register'!$L$11=2,'Risk Register'!$M$11=2),'Risk Register'!$A$11,""),IF(AND('Risk Register'!$L$12=2,'Risk Register'!$M$12=2),'Risk Register'!$A$12,""),IF(AND('Risk Register'!$L$13=2,'Risk Register'!$M$13=2),'Risk Register'!$A$13,""),IF(AND('Risk Register'!$L$14=2,'Risk Register'!$M$14=2),'Risk Register'!$A$14,""),IF(AND('Risk Register'!$L$15=2,'Risk Register'!$M$15=2),'Risk Register'!$A$15,""),IF(AND('Risk Register'!$L$16=2,'Risk Register'!$M$16=2),'Risk Register'!$A$16,""),IF(AND('Risk Register'!$L$17=2,'Risk Register'!$M$17=2),'Risk Register'!$A$17,""),IF(AND('Risk Register'!$L$18=2,'Risk Register'!$M$18=2),'Risk Register'!$A$18,""),IF(AND('Risk Register'!$L$19=2,'Risk Register'!$M$19=2),'Risk Register'!$A$19,""),IF(AND('Risk Register'!$L$20=2,'Risk Register'!$M$20=2),'Risk Register'!$A$20,""),IF(AND('Risk Register'!$L$21=2,'Risk Register'!$M$21=2),'Risk Register'!$A$21,""),IF(AND('Risk Register'!$L$22=2,'Risk Register'!$M$22=2),'Risk Register'!$A$22,""),IF(AND('Risk Register'!$L$23=2,'Risk Register'!$M$23=2),'Risk Register'!$A$23,""),IF(AND('Risk Register'!$L$24=2,'Risk Register'!$M$24=2),'Risk Register'!$A$24,""),IF(AND('Risk Register'!$L$25=2,'Risk Register'!$M$25=2),'Risk Register'!$A$25,""),IF(AND('Risk Register'!$L$26=2,'Risk Register'!$M$26=2),'Risk Register'!$A$26,""),IF(AND('Risk Register'!$L$27=2,'Risk Register'!$M$27=2),'Risk Register'!$A$27,""),IF(AND('Risk Register'!$L$28=2,'Risk Register'!$M$28=2),'Risk Register'!$A$28,""),IF(AND('Risk Register'!$L$29=2,'Risk Register'!$M$29=2),'Risk Register'!$A$29,""),IF(AND('Risk Register'!$L$30=2,'Risk Register'!$M$30=2),'Risk Register'!$A$30,""),IF(AND('Risk Register'!$L$31=2,'Risk Register'!$M$31=2),'Risk Register'!$A$31,""),IF(AND('Risk Register'!$L$32=2,'Risk Register'!$M$32=2),'Risk Register'!$A$32,""),IF(AND('Risk Register'!$L$33=2,'Risk Register'!$M$33=2),'Risk Register'!$A$33,""),IF(AND('Risk Register'!$L$34=2,'Risk Register'!$M$34=2),'Risk Register'!$A$34,""))</f>
        <v/>
      </c>
      <c r="D16" s="10" t="str">
        <f aca="false">_xlfn.TEXTJOIN(", ",TRUE(),IF(AND('Risk Register'!$L$5=2,'Risk Register'!$M$5=3),'Risk Register'!$A$5,""),IF(AND('Risk Register'!$L$6=2,'Risk Register'!$M$6=3),'Risk Register'!$A$6,""),IF(AND('Risk Register'!$L$7=2,'Risk Register'!$M$7=3),'Risk Register'!$A$7,""),IF(AND('Risk Register'!$L$8=2,'Risk Register'!$M$8=3),'Risk Register'!$A$8,""),IF(AND('Risk Register'!$L$9=2,'Risk Register'!$M$9=3),'Risk Register'!$A$9,""),IF(AND('Risk Register'!$L$10=2,'Risk Register'!$M$10=3),'Risk Register'!$A$10,""),IF(AND('Risk Register'!$L$11=2,'Risk Register'!$M$11=3),'Risk Register'!$A$11,""),IF(AND('Risk Register'!$L$12=2,'Risk Register'!$M$12=3),'Risk Register'!$A$12,""),IF(AND('Risk Register'!$L$13=2,'Risk Register'!$M$13=3),'Risk Register'!$A$13,""),IF(AND('Risk Register'!$L$14=2,'Risk Register'!$M$14=3),'Risk Register'!$A$14,""),IF(AND('Risk Register'!$L$15=2,'Risk Register'!$M$15=3),'Risk Register'!$A$15,""),IF(AND('Risk Register'!$L$16=2,'Risk Register'!$M$16=3),'Risk Register'!$A$16,""),IF(AND('Risk Register'!$L$17=2,'Risk Register'!$M$17=3),'Risk Register'!$A$17,""),IF(AND('Risk Register'!$L$18=2,'Risk Register'!$M$18=3),'Risk Register'!$A$18,""),IF(AND('Risk Register'!$L$19=2,'Risk Register'!$M$19=3),'Risk Register'!$A$19,""),IF(AND('Risk Register'!$L$20=2,'Risk Register'!$M$20=3),'Risk Register'!$A$20,""),IF(AND('Risk Register'!$L$21=2,'Risk Register'!$M$21=3),'Risk Register'!$A$21,""),IF(AND('Risk Register'!$L$22=2,'Risk Register'!$M$22=3),'Risk Register'!$A$22,""),IF(AND('Risk Register'!$L$23=2,'Risk Register'!$M$23=3),'Risk Register'!$A$23,""),IF(AND('Risk Register'!$L$24=2,'Risk Register'!$M$24=3),'Risk Register'!$A$24,""),IF(AND('Risk Register'!$L$25=2,'Risk Register'!$M$25=3),'Risk Register'!$A$25,""),IF(AND('Risk Register'!$L$26=2,'Risk Register'!$M$26=3),'Risk Register'!$A$26,""),IF(AND('Risk Register'!$L$27=2,'Risk Register'!$M$27=3),'Risk Register'!$A$27,""),IF(AND('Risk Register'!$L$28=2,'Risk Register'!$M$28=3),'Risk Register'!$A$28,""),IF(AND('Risk Register'!$L$29=2,'Risk Register'!$M$29=3),'Risk Register'!$A$29,""),IF(AND('Risk Register'!$L$30=2,'Risk Register'!$M$30=3),'Risk Register'!$A$30,""),IF(AND('Risk Register'!$L$31=2,'Risk Register'!$M$31=3),'Risk Register'!$A$31,""),IF(AND('Risk Register'!$L$32=2,'Risk Register'!$M$32=3),'Risk Register'!$A$32,""),IF(AND('Risk Register'!$L$33=2,'Risk Register'!$M$33=3),'Risk Register'!$A$33,""),IF(AND('Risk Register'!$L$34=2,'Risk Register'!$M$34=3),'Risk Register'!$A$34,""))</f>
        <v/>
      </c>
      <c r="E16" s="10" t="str">
        <f aca="false">_xlfn.TEXTJOIN(", ",TRUE(),IF(AND('Risk Register'!$L$5=2,'Risk Register'!$M$5=4),'Risk Register'!$A$5,""),IF(AND('Risk Register'!$L$6=2,'Risk Register'!$M$6=4),'Risk Register'!$A$6,""),IF(AND('Risk Register'!$L$7=2,'Risk Register'!$M$7=4),'Risk Register'!$A$7,""),IF(AND('Risk Register'!$L$8=2,'Risk Register'!$M$8=4),'Risk Register'!$A$8,""),IF(AND('Risk Register'!$L$9=2,'Risk Register'!$M$9=4),'Risk Register'!$A$9,""),IF(AND('Risk Register'!$L$10=2,'Risk Register'!$M$10=4),'Risk Register'!$A$10,""),IF(AND('Risk Register'!$L$11=2,'Risk Register'!$M$11=4),'Risk Register'!$A$11,""),IF(AND('Risk Register'!$L$12=2,'Risk Register'!$M$12=4),'Risk Register'!$A$12,""),IF(AND('Risk Register'!$L$13=2,'Risk Register'!$M$13=4),'Risk Register'!$A$13,""),IF(AND('Risk Register'!$L$14=2,'Risk Register'!$M$14=4),'Risk Register'!$A$14,""),IF(AND('Risk Register'!$L$15=2,'Risk Register'!$M$15=4),'Risk Register'!$A$15,""),IF(AND('Risk Register'!$L$16=2,'Risk Register'!$M$16=4),'Risk Register'!$A$16,""),IF(AND('Risk Register'!$L$17=2,'Risk Register'!$M$17=4),'Risk Register'!$A$17,""),IF(AND('Risk Register'!$L$18=2,'Risk Register'!$M$18=4),'Risk Register'!$A$18,""),IF(AND('Risk Register'!$L$19=2,'Risk Register'!$M$19=4),'Risk Register'!$A$19,""),IF(AND('Risk Register'!$L$20=2,'Risk Register'!$M$20=4),'Risk Register'!$A$20,""),IF(AND('Risk Register'!$L$21=2,'Risk Register'!$M$21=4),'Risk Register'!$A$21,""),IF(AND('Risk Register'!$L$22=2,'Risk Register'!$M$22=4),'Risk Register'!$A$22,""),IF(AND('Risk Register'!$L$23=2,'Risk Register'!$M$23=4),'Risk Register'!$A$23,""),IF(AND('Risk Register'!$L$24=2,'Risk Register'!$M$24=4),'Risk Register'!$A$24,""),IF(AND('Risk Register'!$L$25=2,'Risk Register'!$M$25=4),'Risk Register'!$A$25,""),IF(AND('Risk Register'!$L$26=2,'Risk Register'!$M$26=4),'Risk Register'!$A$26,""),IF(AND('Risk Register'!$L$27=2,'Risk Register'!$M$27=4),'Risk Register'!$A$27,""),IF(AND('Risk Register'!$L$28=2,'Risk Register'!$M$28=4),'Risk Register'!$A$28,""),IF(AND('Risk Register'!$L$29=2,'Risk Register'!$M$29=4),'Risk Register'!$A$29,""),IF(AND('Risk Register'!$L$30=2,'Risk Register'!$M$30=4),'Risk Register'!$A$30,""),IF(AND('Risk Register'!$L$31=2,'Risk Register'!$M$31=4),'Risk Register'!$A$31,""),IF(AND('Risk Register'!$L$32=2,'Risk Register'!$M$32=4),'Risk Register'!$A$32,""),IF(AND('Risk Register'!$L$33=2,'Risk Register'!$M$33=4),'Risk Register'!$A$33,""),IF(AND('Risk Register'!$L$34=2,'Risk Register'!$M$34=4),'Risk Register'!$A$34,""))</f>
        <v/>
      </c>
      <c r="F16" s="11" t="str">
        <f aca="false">_xlfn.TEXTJOIN(", ",TRUE(),IF(AND('Risk Register'!$L$5=2,'Risk Register'!$M$5=5),'Risk Register'!$A$5,""),IF(AND('Risk Register'!$L$6=2,'Risk Register'!$M$6=5),'Risk Register'!$A$6,""),IF(AND('Risk Register'!$L$7=2,'Risk Register'!$M$7=5),'Risk Register'!$A$7,""),IF(AND('Risk Register'!$L$8=2,'Risk Register'!$M$8=5),'Risk Register'!$A$8,""),IF(AND('Risk Register'!$L$9=2,'Risk Register'!$M$9=5),'Risk Register'!$A$9,""),IF(AND('Risk Register'!$L$10=2,'Risk Register'!$M$10=5),'Risk Register'!$A$10,""),IF(AND('Risk Register'!$L$11=2,'Risk Register'!$M$11=5),'Risk Register'!$A$11,""),IF(AND('Risk Register'!$L$12=2,'Risk Register'!$M$12=5),'Risk Register'!$A$12,""),IF(AND('Risk Register'!$L$13=2,'Risk Register'!$M$13=5),'Risk Register'!$A$13,""),IF(AND('Risk Register'!$L$14=2,'Risk Register'!$M$14=5),'Risk Register'!$A$14,""),IF(AND('Risk Register'!$L$15=2,'Risk Register'!$M$15=5),'Risk Register'!$A$15,""),IF(AND('Risk Register'!$L$16=2,'Risk Register'!$M$16=5),'Risk Register'!$A$16,""),IF(AND('Risk Register'!$L$17=2,'Risk Register'!$M$17=5),'Risk Register'!$A$17,""),IF(AND('Risk Register'!$L$18=2,'Risk Register'!$M$18=5),'Risk Register'!$A$18,""),IF(AND('Risk Register'!$L$19=2,'Risk Register'!$M$19=5),'Risk Register'!$A$19,""),IF(AND('Risk Register'!$L$20=2,'Risk Register'!$M$20=5),'Risk Register'!$A$20,""),IF(AND('Risk Register'!$L$21=2,'Risk Register'!$M$21=5),'Risk Register'!$A$21,""),IF(AND('Risk Register'!$L$22=2,'Risk Register'!$M$22=5),'Risk Register'!$A$22,""),IF(AND('Risk Register'!$L$23=2,'Risk Register'!$M$23=5),'Risk Register'!$A$23,""),IF(AND('Risk Register'!$L$24=2,'Risk Register'!$M$24=5),'Risk Register'!$A$24,""),IF(AND('Risk Register'!$L$25=2,'Risk Register'!$M$25=5),'Risk Register'!$A$25,""),IF(AND('Risk Register'!$L$26=2,'Risk Register'!$M$26=5),'Risk Register'!$A$26,""),IF(AND('Risk Register'!$L$27=2,'Risk Register'!$M$27=5),'Risk Register'!$A$27,""),IF(AND('Risk Register'!$L$28=2,'Risk Register'!$M$28=5),'Risk Register'!$A$28,""),IF(AND('Risk Register'!$L$29=2,'Risk Register'!$M$29=5),'Risk Register'!$A$29,""),IF(AND('Risk Register'!$L$30=2,'Risk Register'!$M$30=5),'Risk Register'!$A$30,""),IF(AND('Risk Register'!$L$31=2,'Risk Register'!$M$31=5),'Risk Register'!$A$31,""),IF(AND('Risk Register'!$L$32=2,'Risk Register'!$M$32=5),'Risk Register'!$A$32,""),IF(AND('Risk Register'!$L$33=2,'Risk Register'!$M$33=5),'Risk Register'!$A$33,""),IF(AND('Risk Register'!$L$34=2,'Risk Register'!$M$34=5),'Risk Register'!$A$34,""))</f>
        <v/>
      </c>
    </row>
    <row r="17" customFormat="false" ht="61.5" hidden="false" customHeight="true" outlineLevel="0" collapsed="false">
      <c r="A17" s="9" t="s">
        <v>109</v>
      </c>
      <c r="B17" s="13" t="str">
        <f aca="false">_xlfn.TEXTJOIN(", ",TRUE(),IF(AND('Risk Register'!$L$5=1,'Risk Register'!$M$5=1),'Risk Register'!$A$5,""),IF(AND('Risk Register'!$L$6=1,'Risk Register'!$M$6=1),'Risk Register'!$A$6,""),IF(AND('Risk Register'!$L$7=1,'Risk Register'!$M$7=1),'Risk Register'!$A$7,""),IF(AND('Risk Register'!$L$8=1,'Risk Register'!$M$8=1),'Risk Register'!$A$8,""),IF(AND('Risk Register'!$L$9=1,'Risk Register'!$M$9=1),'Risk Register'!$A$9,""),IF(AND('Risk Register'!$L$10=1,'Risk Register'!$M$10=1),'Risk Register'!$A$10,""),IF(AND('Risk Register'!$L$11=1,'Risk Register'!$M$11=1),'Risk Register'!$A$11,""),IF(AND('Risk Register'!$L$12=1,'Risk Register'!$M$12=1),'Risk Register'!$A$12,""),IF(AND('Risk Register'!$L$13=1,'Risk Register'!$M$13=1),'Risk Register'!$A$13,""),IF(AND('Risk Register'!$L$14=1,'Risk Register'!$M$14=1),'Risk Register'!$A$14,""),IF(AND('Risk Register'!$L$15=1,'Risk Register'!$M$15=1),'Risk Register'!$A$15,""),IF(AND('Risk Register'!$L$16=1,'Risk Register'!$M$16=1),'Risk Register'!$A$16,""),IF(AND('Risk Register'!$L$17=1,'Risk Register'!$M$17=1),'Risk Register'!$A$17,""),IF(AND('Risk Register'!$L$18=1,'Risk Register'!$M$18=1),'Risk Register'!$A$18,""),IF(AND('Risk Register'!$L$19=1,'Risk Register'!$M$19=1),'Risk Register'!$A$19,""),IF(AND('Risk Register'!$L$20=1,'Risk Register'!$M$20=1),'Risk Register'!$A$20,""),IF(AND('Risk Register'!$L$21=1,'Risk Register'!$M$21=1),'Risk Register'!$A$21,""),IF(AND('Risk Register'!$L$22=1,'Risk Register'!$M$22=1),'Risk Register'!$A$22,""),IF(AND('Risk Register'!$L$23=1,'Risk Register'!$M$23=1),'Risk Register'!$A$23,""),IF(AND('Risk Register'!$L$24=1,'Risk Register'!$M$24=1),'Risk Register'!$A$24,""),IF(AND('Risk Register'!$L$25=1,'Risk Register'!$M$25=1),'Risk Register'!$A$25,""),IF(AND('Risk Register'!$L$26=1,'Risk Register'!$M$26=1),'Risk Register'!$A$26,""),IF(AND('Risk Register'!$L$27=1,'Risk Register'!$M$27=1),'Risk Register'!$A$27,""),IF(AND('Risk Register'!$L$28=1,'Risk Register'!$M$28=1),'Risk Register'!$A$28,""),IF(AND('Risk Register'!$L$29=1,'Risk Register'!$M$29=1),'Risk Register'!$A$29,""),IF(AND('Risk Register'!$L$30=1,'Risk Register'!$M$30=1),'Risk Register'!$A$30,""),IF(AND('Risk Register'!$L$31=1,'Risk Register'!$M$31=1),'Risk Register'!$A$31,""),IF(AND('Risk Register'!$L$32=1,'Risk Register'!$M$32=1),'Risk Register'!$A$32,""),IF(AND('Risk Register'!$L$33=1,'Risk Register'!$M$33=1),'Risk Register'!$A$33,""),IF(AND('Risk Register'!$L$34=1,'Risk Register'!$M$34=1),'Risk Register'!$A$34,""))</f>
        <v/>
      </c>
      <c r="C17" s="13" t="str">
        <f aca="false">_xlfn.TEXTJOIN(", ",TRUE(),IF(AND('Risk Register'!$L$5=1,'Risk Register'!$M$5=2),'Risk Register'!$A$5,""),IF(AND('Risk Register'!$L$6=1,'Risk Register'!$M$6=2),'Risk Register'!$A$6,""),IF(AND('Risk Register'!$L$7=1,'Risk Register'!$M$7=2),'Risk Register'!$A$7,""),IF(AND('Risk Register'!$L$8=1,'Risk Register'!$M$8=2),'Risk Register'!$A$8,""),IF(AND('Risk Register'!$L$9=1,'Risk Register'!$M$9=2),'Risk Register'!$A$9,""),IF(AND('Risk Register'!$L$10=1,'Risk Register'!$M$10=2),'Risk Register'!$A$10,""),IF(AND('Risk Register'!$L$11=1,'Risk Register'!$M$11=2),'Risk Register'!$A$11,""),IF(AND('Risk Register'!$L$12=1,'Risk Register'!$M$12=2),'Risk Register'!$A$12,""),IF(AND('Risk Register'!$L$13=1,'Risk Register'!$M$13=2),'Risk Register'!$A$13,""),IF(AND('Risk Register'!$L$14=1,'Risk Register'!$M$14=2),'Risk Register'!$A$14,""),IF(AND('Risk Register'!$L$15=1,'Risk Register'!$M$15=2),'Risk Register'!$A$15,""),IF(AND('Risk Register'!$L$16=1,'Risk Register'!$M$16=2),'Risk Register'!$A$16,""),IF(AND('Risk Register'!$L$17=1,'Risk Register'!$M$17=2),'Risk Register'!$A$17,""),IF(AND('Risk Register'!$L$18=1,'Risk Register'!$M$18=2),'Risk Register'!$A$18,""),IF(AND('Risk Register'!$L$19=1,'Risk Register'!$M$19=2),'Risk Register'!$A$19,""),IF(AND('Risk Register'!$L$20=1,'Risk Register'!$M$20=2),'Risk Register'!$A$20,""),IF(AND('Risk Register'!$L$21=1,'Risk Register'!$M$21=2),'Risk Register'!$A$21,""),IF(AND('Risk Register'!$L$22=1,'Risk Register'!$M$22=2),'Risk Register'!$A$22,""),IF(AND('Risk Register'!$L$23=1,'Risk Register'!$M$23=2),'Risk Register'!$A$23,""),IF(AND('Risk Register'!$L$24=1,'Risk Register'!$M$24=2),'Risk Register'!$A$24,""),IF(AND('Risk Register'!$L$25=1,'Risk Register'!$M$25=2),'Risk Register'!$A$25,""),IF(AND('Risk Register'!$L$26=1,'Risk Register'!$M$26=2),'Risk Register'!$A$26,""),IF(AND('Risk Register'!$L$27=1,'Risk Register'!$M$27=2),'Risk Register'!$A$27,""),IF(AND('Risk Register'!$L$28=1,'Risk Register'!$M$28=2),'Risk Register'!$A$28,""),IF(AND('Risk Register'!$L$29=1,'Risk Register'!$M$29=2),'Risk Register'!$A$29,""),IF(AND('Risk Register'!$L$30=1,'Risk Register'!$M$30=2),'Risk Register'!$A$30,""),IF(AND('Risk Register'!$L$31=1,'Risk Register'!$M$31=2),'Risk Register'!$A$31,""),IF(AND('Risk Register'!$L$32=1,'Risk Register'!$M$32=2),'Risk Register'!$A$32,""),IF(AND('Risk Register'!$L$33=1,'Risk Register'!$M$33=2),'Risk Register'!$A$33,""),IF(AND('Risk Register'!$L$34=1,'Risk Register'!$M$34=2),'Risk Register'!$A$34,""))</f>
        <v/>
      </c>
      <c r="D17" s="13" t="str">
        <f aca="false">_xlfn.TEXTJOIN(", ",TRUE(),IF(AND('Risk Register'!$L$5=1,'Risk Register'!$M$5=3),'Risk Register'!$A$5,""),IF(AND('Risk Register'!$L$6=1,'Risk Register'!$M$6=3),'Risk Register'!$A$6,""),IF(AND('Risk Register'!$L$7=1,'Risk Register'!$M$7=3),'Risk Register'!$A$7,""),IF(AND('Risk Register'!$L$8=1,'Risk Register'!$M$8=3),'Risk Register'!$A$8,""),IF(AND('Risk Register'!$L$9=1,'Risk Register'!$M$9=3),'Risk Register'!$A$9,""),IF(AND('Risk Register'!$L$10=1,'Risk Register'!$M$10=3),'Risk Register'!$A$10,""),IF(AND('Risk Register'!$L$11=1,'Risk Register'!$M$11=3),'Risk Register'!$A$11,""),IF(AND('Risk Register'!$L$12=1,'Risk Register'!$M$12=3),'Risk Register'!$A$12,""),IF(AND('Risk Register'!$L$13=1,'Risk Register'!$M$13=3),'Risk Register'!$A$13,""),IF(AND('Risk Register'!$L$14=1,'Risk Register'!$M$14=3),'Risk Register'!$A$14,""),IF(AND('Risk Register'!$L$15=1,'Risk Register'!$M$15=3),'Risk Register'!$A$15,""),IF(AND('Risk Register'!$L$16=1,'Risk Register'!$M$16=3),'Risk Register'!$A$16,""),IF(AND('Risk Register'!$L$17=1,'Risk Register'!$M$17=3),'Risk Register'!$A$17,""),IF(AND('Risk Register'!$L$18=1,'Risk Register'!$M$18=3),'Risk Register'!$A$18,""),IF(AND('Risk Register'!$L$19=1,'Risk Register'!$M$19=3),'Risk Register'!$A$19,""),IF(AND('Risk Register'!$L$20=1,'Risk Register'!$M$20=3),'Risk Register'!$A$20,""),IF(AND('Risk Register'!$L$21=1,'Risk Register'!$M$21=3),'Risk Register'!$A$21,""),IF(AND('Risk Register'!$L$22=1,'Risk Register'!$M$22=3),'Risk Register'!$A$22,""),IF(AND('Risk Register'!$L$23=1,'Risk Register'!$M$23=3),'Risk Register'!$A$23,""),IF(AND('Risk Register'!$L$24=1,'Risk Register'!$M$24=3),'Risk Register'!$A$24,""),IF(AND('Risk Register'!$L$25=1,'Risk Register'!$M$25=3),'Risk Register'!$A$25,""),IF(AND('Risk Register'!$L$26=1,'Risk Register'!$M$26=3),'Risk Register'!$A$26,""),IF(AND('Risk Register'!$L$27=1,'Risk Register'!$M$27=3),'Risk Register'!$A$27,""),IF(AND('Risk Register'!$L$28=1,'Risk Register'!$M$28=3),'Risk Register'!$A$28,""),IF(AND('Risk Register'!$L$29=1,'Risk Register'!$M$29=3),'Risk Register'!$A$29,""),IF(AND('Risk Register'!$L$30=1,'Risk Register'!$M$30=3),'Risk Register'!$A$30,""),IF(AND('Risk Register'!$L$31=1,'Risk Register'!$M$31=3),'Risk Register'!$A$31,""),IF(AND('Risk Register'!$L$32=1,'Risk Register'!$M$32=3),'Risk Register'!$A$32,""),IF(AND('Risk Register'!$L$33=1,'Risk Register'!$M$33=3),'Risk Register'!$A$33,""),IF(AND('Risk Register'!$L$34=1,'Risk Register'!$M$34=3),'Risk Register'!$A$34,""))</f>
        <v/>
      </c>
      <c r="E17" s="13" t="str">
        <f aca="false">_xlfn.TEXTJOIN(", ",TRUE(),IF(AND('Risk Register'!$L$5=1,'Risk Register'!$M$5=4),'Risk Register'!$A$5,""),IF(AND('Risk Register'!$L$6=1,'Risk Register'!$M$6=4),'Risk Register'!$A$6,""),IF(AND('Risk Register'!$L$7=1,'Risk Register'!$M$7=4),'Risk Register'!$A$7,""),IF(AND('Risk Register'!$L$8=1,'Risk Register'!$M$8=4),'Risk Register'!$A$8,""),IF(AND('Risk Register'!$L$9=1,'Risk Register'!$M$9=4),'Risk Register'!$A$9,""),IF(AND('Risk Register'!$L$10=1,'Risk Register'!$M$10=4),'Risk Register'!$A$10,""),IF(AND('Risk Register'!$L$11=1,'Risk Register'!$M$11=4),'Risk Register'!$A$11,""),IF(AND('Risk Register'!$L$12=1,'Risk Register'!$M$12=4),'Risk Register'!$A$12,""),IF(AND('Risk Register'!$L$13=1,'Risk Register'!$M$13=4),'Risk Register'!$A$13,""),IF(AND('Risk Register'!$L$14=1,'Risk Register'!$M$14=4),'Risk Register'!$A$14,""),IF(AND('Risk Register'!$L$15=1,'Risk Register'!$M$15=4),'Risk Register'!$A$15,""),IF(AND('Risk Register'!$L$16=1,'Risk Register'!$M$16=4),'Risk Register'!$A$16,""),IF(AND('Risk Register'!$L$17=1,'Risk Register'!$M$17=4),'Risk Register'!$A$17,""),IF(AND('Risk Register'!$L$18=1,'Risk Register'!$M$18=4),'Risk Register'!$A$18,""),IF(AND('Risk Register'!$L$19=1,'Risk Register'!$M$19=4),'Risk Register'!$A$19,""),IF(AND('Risk Register'!$L$20=1,'Risk Register'!$M$20=4),'Risk Register'!$A$20,""),IF(AND('Risk Register'!$L$21=1,'Risk Register'!$M$21=4),'Risk Register'!$A$21,""),IF(AND('Risk Register'!$L$22=1,'Risk Register'!$M$22=4),'Risk Register'!$A$22,""),IF(AND('Risk Register'!$L$23=1,'Risk Register'!$M$23=4),'Risk Register'!$A$23,""),IF(AND('Risk Register'!$L$24=1,'Risk Register'!$M$24=4),'Risk Register'!$A$24,""),IF(AND('Risk Register'!$L$25=1,'Risk Register'!$M$25=4),'Risk Register'!$A$25,""),IF(AND('Risk Register'!$L$26=1,'Risk Register'!$M$26=4),'Risk Register'!$A$26,""),IF(AND('Risk Register'!$L$27=1,'Risk Register'!$M$27=4),'Risk Register'!$A$27,""),IF(AND('Risk Register'!$L$28=1,'Risk Register'!$M$28=4),'Risk Register'!$A$28,""),IF(AND('Risk Register'!$L$29=1,'Risk Register'!$M$29=4),'Risk Register'!$A$29,""),IF(AND('Risk Register'!$L$30=1,'Risk Register'!$M$30=4),'Risk Register'!$A$30,""),IF(AND('Risk Register'!$L$31=1,'Risk Register'!$M$31=4),'Risk Register'!$A$31,""),IF(AND('Risk Register'!$L$32=1,'Risk Register'!$M$32=4),'Risk Register'!$A$32,""),IF(AND('Risk Register'!$L$33=1,'Risk Register'!$M$33=4),'Risk Register'!$A$33,""),IF(AND('Risk Register'!$L$34=1,'Risk Register'!$M$34=4),'Risk Register'!$A$34,""))</f>
        <v/>
      </c>
      <c r="F17" s="10" t="str">
        <f aca="false">_xlfn.TEXTJOIN(", ",TRUE(),IF(AND('Risk Register'!$L$5=1,'Risk Register'!$M$5=5),'Risk Register'!$A$5,""),IF(AND('Risk Register'!$L$6=1,'Risk Register'!$M$6=5),'Risk Register'!$A$6,""),IF(AND('Risk Register'!$L$7=1,'Risk Register'!$M$7=5),'Risk Register'!$A$7,""),IF(AND('Risk Register'!$L$8=1,'Risk Register'!$M$8=5),'Risk Register'!$A$8,""),IF(AND('Risk Register'!$L$9=1,'Risk Register'!$M$9=5),'Risk Register'!$A$9,""),IF(AND('Risk Register'!$L$10=1,'Risk Register'!$M$10=5),'Risk Register'!$A$10,""),IF(AND('Risk Register'!$L$11=1,'Risk Register'!$M$11=5),'Risk Register'!$A$11,""),IF(AND('Risk Register'!$L$12=1,'Risk Register'!$M$12=5),'Risk Register'!$A$12,""),IF(AND('Risk Register'!$L$13=1,'Risk Register'!$M$13=5),'Risk Register'!$A$13,""),IF(AND('Risk Register'!$L$14=1,'Risk Register'!$M$14=5),'Risk Register'!$A$14,""),IF(AND('Risk Register'!$L$15=1,'Risk Register'!$M$15=5),'Risk Register'!$A$15,""),IF(AND('Risk Register'!$L$16=1,'Risk Register'!$M$16=5),'Risk Register'!$A$16,""),IF(AND('Risk Register'!$L$17=1,'Risk Register'!$M$17=5),'Risk Register'!$A$17,""),IF(AND('Risk Register'!$L$18=1,'Risk Register'!$M$18=5),'Risk Register'!$A$18,""),IF(AND('Risk Register'!$L$19=1,'Risk Register'!$M$19=5),'Risk Register'!$A$19,""),IF(AND('Risk Register'!$L$20=1,'Risk Register'!$M$20=5),'Risk Register'!$A$20,""),IF(AND('Risk Register'!$L$21=1,'Risk Register'!$M$21=5),'Risk Register'!$A$21,""),IF(AND('Risk Register'!$L$22=1,'Risk Register'!$M$22=5),'Risk Register'!$A$22,""),IF(AND('Risk Register'!$L$23=1,'Risk Register'!$M$23=5),'Risk Register'!$A$23,""),IF(AND('Risk Register'!$L$24=1,'Risk Register'!$M$24=5),'Risk Register'!$A$24,""),IF(AND('Risk Register'!$L$25=1,'Risk Register'!$M$25=5),'Risk Register'!$A$25,""),IF(AND('Risk Register'!$L$26=1,'Risk Register'!$M$26=5),'Risk Register'!$A$26,""),IF(AND('Risk Register'!$L$27=1,'Risk Register'!$M$27=5),'Risk Register'!$A$27,""),IF(AND('Risk Register'!$L$28=1,'Risk Register'!$M$28=5),'Risk Register'!$A$28,""),IF(AND('Risk Register'!$L$29=1,'Risk Register'!$M$29=5),'Risk Register'!$A$29,""),IF(AND('Risk Register'!$L$30=1,'Risk Register'!$M$30=5),'Risk Register'!$A$30,""),IF(AND('Risk Register'!$L$31=1,'Risk Register'!$M$31=5),'Risk Register'!$A$31,""),IF(AND('Risk Register'!$L$32=1,'Risk Register'!$M$32=5),'Risk Register'!$A$32,""),IF(AND('Risk Register'!$L$33=1,'Risk Register'!$M$33=5),'Risk Register'!$A$33,""),IF(AND('Risk Register'!$L$34=1,'Risk Register'!$M$34=5),'Risk Register'!$A$34,""))</f>
        <v/>
      </c>
    </row>
    <row r="19" customFormat="false" ht="15" hidden="false" customHeight="false" outlineLevel="0" collapsed="false">
      <c r="A19" s="14" t="s">
        <v>111</v>
      </c>
    </row>
    <row r="20" customFormat="false" ht="15" hidden="false" customHeight="false" outlineLevel="0" collapsed="false">
      <c r="A20" s="15" t="s">
        <v>112</v>
      </c>
      <c r="B20" s="15"/>
      <c r="C20" s="15"/>
    </row>
    <row r="21" customFormat="false" ht="15" hidden="false" customHeight="false" outlineLevel="0" collapsed="false">
      <c r="A21" s="16" t="s">
        <v>113</v>
      </c>
      <c r="B21" s="16"/>
      <c r="C21" s="16"/>
    </row>
    <row r="22" customFormat="false" ht="15" hidden="false" customHeight="false" outlineLevel="0" collapsed="false">
      <c r="A22" s="17" t="s">
        <v>114</v>
      </c>
      <c r="B22" s="17"/>
      <c r="C22" s="17"/>
    </row>
    <row r="23" customFormat="false" ht="15" hidden="false" customHeight="false" outlineLevel="0" collapsed="false">
      <c r="A23" s="18" t="s">
        <v>115</v>
      </c>
      <c r="B23" s="18"/>
      <c r="C23" s="18"/>
    </row>
    <row r="25" customFormat="false" ht="15" hidden="false" customHeight="false" outlineLevel="0" collapsed="false">
      <c r="A25" s="2" t="s">
        <v>116</v>
      </c>
    </row>
  </sheetData>
  <mergeCells count="4">
    <mergeCell ref="A20:C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19" t="s">
        <v>118</v>
      </c>
    </row>
    <row r="4" customFormat="false" ht="15" hidden="false" customHeight="false" outlineLevel="0" collapsed="false">
      <c r="A4" s="20" t="s">
        <v>9</v>
      </c>
      <c r="B4" s="20" t="s">
        <v>10</v>
      </c>
      <c r="C4" s="20" t="s">
        <v>119</v>
      </c>
    </row>
    <row r="5" customFormat="false" ht="15" hidden="false" customHeight="false" outlineLevel="0" collapsed="false">
      <c r="A5" s="21" t="n">
        <v>1</v>
      </c>
      <c r="B5" s="21" t="s">
        <v>120</v>
      </c>
      <c r="C5" s="21" t="s">
        <v>121</v>
      </c>
    </row>
    <row r="6" customFormat="false" ht="15" hidden="false" customHeight="false" outlineLevel="0" collapsed="false">
      <c r="A6" s="21" t="n">
        <v>2</v>
      </c>
      <c r="B6" s="21" t="s">
        <v>122</v>
      </c>
      <c r="C6" s="21" t="s">
        <v>123</v>
      </c>
    </row>
    <row r="7" customFormat="false" ht="15" hidden="false" customHeight="false" outlineLevel="0" collapsed="false">
      <c r="A7" s="21" t="n">
        <v>3</v>
      </c>
      <c r="B7" s="21" t="s">
        <v>124</v>
      </c>
      <c r="C7" s="21" t="s">
        <v>125</v>
      </c>
    </row>
    <row r="8" customFormat="false" ht="15" hidden="false" customHeight="false" outlineLevel="0" collapsed="false">
      <c r="A8" s="21" t="n">
        <v>4</v>
      </c>
      <c r="B8" s="21" t="s">
        <v>126</v>
      </c>
      <c r="C8" s="21" t="s">
        <v>127</v>
      </c>
    </row>
    <row r="9" customFormat="false" ht="15" hidden="false" customHeight="false" outlineLevel="0" collapsed="false">
      <c r="A9" s="21" t="n">
        <v>5</v>
      </c>
      <c r="B9" s="21" t="s">
        <v>128</v>
      </c>
      <c r="C9" s="21" t="s">
        <v>129</v>
      </c>
    </row>
    <row r="11" customFormat="false" ht="15" hidden="false" customHeight="false" outlineLevel="0" collapsed="false">
      <c r="A11" s="19" t="s">
        <v>130</v>
      </c>
    </row>
    <row r="12" customFormat="false" ht="15" hidden="false" customHeight="false" outlineLevel="0" collapsed="false">
      <c r="A12" s="20" t="s">
        <v>9</v>
      </c>
      <c r="B12" s="20" t="s">
        <v>10</v>
      </c>
      <c r="C12" s="20" t="s">
        <v>119</v>
      </c>
    </row>
    <row r="13" customFormat="false" ht="15" hidden="false" customHeight="false" outlineLevel="0" collapsed="false">
      <c r="A13" s="21" t="n">
        <v>1</v>
      </c>
      <c r="B13" s="21" t="s">
        <v>131</v>
      </c>
      <c r="C13" s="21" t="s">
        <v>132</v>
      </c>
    </row>
    <row r="14" customFormat="false" ht="15" hidden="false" customHeight="false" outlineLevel="0" collapsed="false">
      <c r="A14" s="21" t="n">
        <v>2</v>
      </c>
      <c r="B14" s="21" t="s">
        <v>133</v>
      </c>
      <c r="C14" s="21" t="s">
        <v>134</v>
      </c>
    </row>
    <row r="15" customFormat="false" ht="15" hidden="false" customHeight="false" outlineLevel="0" collapsed="false">
      <c r="A15" s="21" t="n">
        <v>3</v>
      </c>
      <c r="B15" s="21" t="s">
        <v>124</v>
      </c>
      <c r="C15" s="21" t="s">
        <v>135</v>
      </c>
    </row>
    <row r="16" customFormat="false" ht="15" hidden="false" customHeight="false" outlineLevel="0" collapsed="false">
      <c r="A16" s="21" t="n">
        <v>4</v>
      </c>
      <c r="B16" s="21" t="s">
        <v>136</v>
      </c>
      <c r="C16" s="21" t="s">
        <v>137</v>
      </c>
    </row>
    <row r="17" customFormat="false" ht="15" hidden="false" customHeight="false" outlineLevel="0" collapsed="false">
      <c r="A17" s="21" t="n">
        <v>5</v>
      </c>
      <c r="B17" s="21" t="s">
        <v>138</v>
      </c>
      <c r="C17" s="21" t="s">
        <v>139</v>
      </c>
    </row>
    <row r="19" customFormat="false" ht="15" hidden="false" customHeight="false" outlineLevel="0" collapsed="false">
      <c r="A19" s="19" t="s">
        <v>140</v>
      </c>
    </row>
    <row r="20" customFormat="false" ht="15" hidden="false" customHeight="false" outlineLevel="0" collapsed="false">
      <c r="A20" s="20" t="s">
        <v>9</v>
      </c>
      <c r="B20" s="20" t="s">
        <v>10</v>
      </c>
      <c r="C20" s="20" t="s">
        <v>141</v>
      </c>
    </row>
    <row r="21" customFormat="false" ht="15" hidden="false" customHeight="false" outlineLevel="0" collapsed="false">
      <c r="A21" s="21" t="s">
        <v>142</v>
      </c>
      <c r="B21" s="21" t="s">
        <v>122</v>
      </c>
      <c r="C21" s="21" t="s">
        <v>143</v>
      </c>
    </row>
    <row r="22" customFormat="false" ht="15" hidden="false" customHeight="false" outlineLevel="0" collapsed="false">
      <c r="A22" s="21" t="s">
        <v>144</v>
      </c>
      <c r="B22" s="21" t="s">
        <v>124</v>
      </c>
      <c r="C22" s="21" t="s">
        <v>145</v>
      </c>
    </row>
    <row r="23" customFormat="false" ht="15" hidden="false" customHeight="false" outlineLevel="0" collapsed="false">
      <c r="A23" s="21" t="s">
        <v>146</v>
      </c>
      <c r="B23" s="21" t="s">
        <v>126</v>
      </c>
      <c r="C23" s="21" t="s">
        <v>147</v>
      </c>
    </row>
    <row r="24" customFormat="false" ht="15" hidden="false" customHeight="false" outlineLevel="0" collapsed="false">
      <c r="A24" s="21" t="s">
        <v>148</v>
      </c>
      <c r="B24" s="21" t="s">
        <v>138</v>
      </c>
      <c r="C24" s="21" t="s">
        <v>149</v>
      </c>
    </row>
    <row r="26" customFormat="false" ht="15" hidden="false" customHeight="false" outlineLevel="0" collapsed="false">
      <c r="A26" s="19" t="s">
        <v>150</v>
      </c>
    </row>
    <row r="27" customFormat="false" ht="15" hidden="false" customHeight="false" outlineLevel="0" collapsed="false">
      <c r="A27" s="20" t="s">
        <v>151</v>
      </c>
      <c r="B27" s="20" t="s">
        <v>119</v>
      </c>
    </row>
    <row r="28" customFormat="false" ht="15" hidden="false" customHeight="false" outlineLevel="0" collapsed="false">
      <c r="A28" s="21" t="s">
        <v>22</v>
      </c>
      <c r="B28" s="21" t="s">
        <v>152</v>
      </c>
    </row>
    <row r="29" customFormat="false" ht="23.85" hidden="false" customHeight="false" outlineLevel="0" collapsed="false">
      <c r="A29" s="21" t="s">
        <v>97</v>
      </c>
      <c r="B29" s="21" t="s">
        <v>153</v>
      </c>
    </row>
    <row r="30" customFormat="false" ht="23.85" hidden="false" customHeight="false" outlineLevel="0" collapsed="false">
      <c r="A30" s="21" t="s">
        <v>154</v>
      </c>
      <c r="B30" s="21" t="s">
        <v>155</v>
      </c>
    </row>
    <row r="31" customFormat="false" ht="23.85" hidden="false" customHeight="false" outlineLevel="0" collapsed="false">
      <c r="A31" s="21" t="s">
        <v>156</v>
      </c>
      <c r="B31" s="2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2026-10-10T16:58:24Z</dcterms:created>
  <dc:creator>openpyxl</dc:creator>
  <dc:description/>
  <dc:language>en-US</dc:language>
  <cp:lastModifiedBy/>
  <dcterms:modified xsi:type="dcterms:W3CDTF">2026-10-10T16:58:24Z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